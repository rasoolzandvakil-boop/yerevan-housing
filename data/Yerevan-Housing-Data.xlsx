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PPI Index (CBA)" sheetId="2" state="visible" r:id="rId4"/>
    <sheet name="RPPI Transactions (CBA)" sheetId="3" state="visible" r:id="rId5"/>
    <sheet name="District Prices" sheetId="4" state="visible" r:id="rId6"/>
    <sheet name="Price &amp; Rent Arcs" sheetId="5" state="visible" r:id="rId7"/>
    <sheet name="Macro (IMF WEO)" sheetId="6" state="visible" r:id="rId8"/>
    <sheet name="Airbnb STR" sheetId="7" state="visible" r:id="rId9"/>
    <sheet name="Yield Calculator"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<sst xmlns="http://schemas.openxmlformats.org/spreadsheetml/2006/main" count="273" uniqueCount="221">
  <si>
    <t xml:space="preserve">Yerevan Housing Market — Consolidated Data Workbook</t>
  </si>
  <si>
    <t xml:space="preserve">Compiled September 2, 2026. Companion to the report 'The Yerevan Housing Market' (Aug 2026).</t>
  </si>
  <si>
    <t xml:space="preserve">WHAT IS IN THIS WORKBOOK</t>
  </si>
  <si>
    <t xml:space="preserve">RPPI Index — the Central Bank of Armenia's full official Residential Property Price Index, quarterly 2018–2026Q2, by segment and Yerevan zone (base 2018=100), with y/y growth computed by formula.</t>
  </si>
  <si>
    <t xml:space="preserve">RPPI Transactions — official quarterly sale-transaction counts and values, by segment and Yerevan zone.</t>
  </si>
  <si>
    <t xml:space="preserve">District Prices — secondary-market price per sq m for all 12 Yerevan districts (Jul 2022, Dec 2025, Jun 2026) and new-build minimum asking prices; US$ conversion and growth are live formulas.</t>
  </si>
  <si>
    <t xml:space="preserve">Price &amp; Rent Arcs — the spliced summary series used in the report's charts (indicative, multi-source).</t>
  </si>
  <si>
    <t xml:space="preserve">Macro IMF WEO — the full April 2026 World Economic Outlook series for Armenia, 2010–2031, plus the 2026–27 growth-projection comparison across institutions.</t>
  </si>
  <si>
    <t xml:space="preserve">Airbnb STR — Yerevan short-term-rental metrics across the three analytics providers.</t>
  </si>
  <si>
    <t xml:space="preserve">Yield Calculator — plug in your own price and rent assumptions (blue/yellow cells) to compute gross and net yields.</t>
  </si>
  <si>
    <t xml:space="preserve">WHAT IS IN THE FOLDER NEXT TO THIS FILE</t>
  </si>
  <si>
    <t xml:space="preserve">official/ — CBA RPPI quarterly reports (2025Q3–2026Q2) and the Financial Stability Report 2024 (EN).</t>
  </si>
  <si>
    <t xml:space="preserve">imf/ — IMF 2025 Article IV + new SBA staff report; 5th SBA review (Jun 2025); 2023 Article IV (house-price overvaluation box).</t>
  </si>
  <si>
    <t xml:space="preserve">ifis/ — ADB housing-finance sector assessment (2025) and ADO Armenia chapter (Apr 2026); World Bank Monthly Update (Jul 2026) and Macro Poverty Outlook; EBRD Regional Economic Prospects (Jun 2026).</t>
  </si>
  <si>
    <t xml:space="preserve">data-series/ — the CBA's raw RPPI data export (xlsx) and the IMF WEO Armenia series (csv).</t>
  </si>
  <si>
    <t xml:space="preserve">NOT FREELY DOWNLOADABLE / NOT INCLUDED</t>
  </si>
  <si>
    <t xml:space="preserve">State Cadastre Committee monthly market analyses (cadastre.am/en/market_analysis) — free but Armenian-language PDFs, and the site blocks automated downloads; district price tables reach English via press republications (b24.am, Finport, ARKA), which is what the District Prices sheet uses.</t>
  </si>
  <si>
    <t xml:space="preserve">Grant Thornton Armenia annual report — free to view at grantthornton.am/insights (interactive dashboards; no direct data file).</t>
  </si>
  <si>
    <t xml:space="preserve">AirDNA / Airbtics / AirROI — freemium web dashboards; the Airbnb STR sheet records their headline metrics as of mid-2026.</t>
  </si>
  <si>
    <t xml:space="preserve">CAVEAT</t>
  </si>
  <si>
    <t xml:space="preserve">Sources use differing definitions (transaction vs listing prices, hedonic vs average values). Figures are consistent in direction, not to the last digit. The official CBA series (RPPI sheets) is the cleanest for independent analysis.</t>
  </si>
  <si>
    <t xml:space="preserve">CBA Residential Property Price Index — base 2018=100, quarterly</t>
  </si>
  <si>
    <t xml:space="preserve">Source: Central Bank of Armenia RPPI data export, cba.am/en/statistics/residential-property-price-index/277 (downloaded Sep 2, 2026). Y/y columns are formulas.</t>
  </si>
  <si>
    <t xml:space="preserve">Quarter</t>
  </si>
  <si>
    <t xml:space="preserve">RPPI Armenia</t>
  </si>
  <si>
    <t xml:space="preserve">Apartments Armenia</t>
  </si>
  <si>
    <t xml:space="preserve">Apartments Yerevan</t>
  </si>
  <si>
    <t xml:space="preserve">Yerevan-Center</t>
  </si>
  <si>
    <t xml:space="preserve">Yerevan-East</t>
  </si>
  <si>
    <t xml:space="preserve">Yerevan-North</t>
  </si>
  <si>
    <t xml:space="preserve">Yerevan-South</t>
  </si>
  <si>
    <t xml:space="preserve">Yerevan-West</t>
  </si>
  <si>
    <t xml:space="preserve">Outside Yerevan</t>
  </si>
  <si>
    <t xml:space="preserve">Houses Armenia</t>
  </si>
  <si>
    <t xml:space="preserve">RPPI y/y %</t>
  </si>
  <si>
    <t xml:space="preserve">Apts Yerevan y/y %</t>
  </si>
  <si>
    <t xml:space="preserve">Yerevan-Center y/y %</t>
  </si>
  <si>
    <t xml:space="preserve">Houses y/y %</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</si>
  <si>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</si>
  <si>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</si>
  <si>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</si>
  <si>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</si>
  <si>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</si>
  <si>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</si>
  <si>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</si>
  <si>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</si>
  <si>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</si>
  <si>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</si>
  <si>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</si>
  <si>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</si>
  <si>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</si>
  <si>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</si>
  <si>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</si>
  <si>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</si>
  <si>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</si>
  <si>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</si>
  <si>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</si>
  <si>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</si>
  <si>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</si>
  <si>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</si>
  <si>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</si>
  <si>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</si>
  <si>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</si>
  <si>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</si>
  <si>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</si>
  <si>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</si>
  <si>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</si>
  <si>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</si>
  <si>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</si>
  <si>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</si>
  <si>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</si>
  <si>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</si>
  <si>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Residential property sale transactions — counts and values, quarterly</t>
  </si>
  <si>
    <t xml:space="preserve">Source: Central Bank of Armenia RPPI data export (downloaded Sep 2, 2026). Values in billions of drams.</t>
  </si>
  <si>
    <t xml:space="preserve">Number of residential property sale transactions, Armenia (piece)</t>
  </si>
  <si>
    <t xml:space="preserve">Number of apartment sale transactions, Armenia (piece)</t>
  </si>
  <si>
    <t xml:space="preserve">Number of apartment sale transactions, Yerevan-Center (piece)</t>
  </si>
  <si>
    <t xml:space="preserve">Number of apartment sale transactions, Yerevan-East (piece)</t>
  </si>
  <si>
    <t xml:space="preserve">Number of apartment sale transactions, Yerevan-North (piece)</t>
  </si>
  <si>
    <t xml:space="preserve">Number of apartment sale transactions, Yerevan-South (piece)</t>
  </si>
  <si>
    <t xml:space="preserve">Number of apartment sale transactions, Yerevan-West (piece)</t>
  </si>
  <si>
    <t xml:space="preserve">Number of apartment sale transactions, Outside Yerevan (piece)</t>
  </si>
  <si>
    <t xml:space="preserve">Number of individual house sale transactions, Armenia (piece)</t>
  </si>
  <si>
    <t xml:space="preserve">Value of residential property sale transactions, Armenia billion, AMD</t>
  </si>
  <si>
    <t xml:space="preserve">Value of apartment sale transactions, Armenia billion, AMD</t>
  </si>
  <si>
    <t xml:space="preserve">Value of individual house sale transactions, Armenia billion, AMD</t>
  </si>
  <si>
    <t xml:space="preserve">Value of apartment sale transactions, Yerevan-Center billion, AMD</t>
  </si>
  <si>
    <t xml:space="preserve">Value of apartment sale transactions, Yerevan-East billion, AMD</t>
  </si>
  <si>
    <t xml:space="preserve">Value of apartment sale transactions, Yerevan-North billion, AMD</t>
  </si>
  <si>
    <t xml:space="preserve">Value of apartment sale transactions, Yerevan-South billion, AMD</t>
  </si>
  <si>
    <t xml:space="preserve">Value of apartment sale transactions, Yerevan-West billion, AMD</t>
  </si>
  <si>
    <t xml:space="preserve">Value of apartment sale transactions, Outside Yerevan billion, AMD</t>
  </si>
  <si>
    <t xml:space="preserve">Yerevan district prices — secondary-market average and new-build minimum asking</t>
  </si>
  <si>
    <t xml:space="preserve">Sources: official statistics via news.am 719015 (Jul 2022) and b24.am 452329 / 463458 (Dec 2025, Jun 2026); karucapatoxic.am (korter.am family) new-build minimum asking, Jul 2026, mean of 81 projects.</t>
  </si>
  <si>
    <t xml:space="preserve">AMD per US$ (edit me):</t>
  </si>
  <si>
    <t xml:space="preserve">District</t>
  </si>
  <si>
    <t xml:space="preserve">Jul 2022 (AMD th/sqm)</t>
  </si>
  <si>
    <t xml:space="preserve">Dec 2025 (AMD th/sqm)</t>
  </si>
  <si>
    <t xml:space="preserve">Jun 2026 (AMD th/sqm)</t>
  </si>
  <si>
    <t xml:space="preserve">US$/sqm Jun 2026</t>
  </si>
  <si>
    <t xml:space="preserve">% change Jul 22→Jun 26</t>
  </si>
  <si>
    <t xml:space="preserve">2025 y/y %</t>
  </si>
  <si>
    <t xml:space="preserve">New-build min asking (AMD th/sqm)</t>
  </si>
  <si>
    <t xml:space="preserve">New-build US$/sqm</t>
  </si>
  <si>
    <t xml:space="preserve">Kentron</t>
  </si>
  <si>
    <t xml:space="preserve">Arabkir</t>
  </si>
  <si>
    <t xml:space="preserve">Nork-Marash</t>
  </si>
  <si>
    <t xml:space="preserve">Davtashen</t>
  </si>
  <si>
    <t xml:space="preserve">Kanaker-Zeytun</t>
  </si>
  <si>
    <t xml:space="preserve">Ajapnyak</t>
  </si>
  <si>
    <t xml:space="preserve">Nor Nork</t>
  </si>
  <si>
    <t xml:space="preserve">Shengavit</t>
  </si>
  <si>
    <t xml:space="preserve">Malatia-Sebastia</t>
  </si>
  <si>
    <t xml:space="preserve">Erebuni</t>
  </si>
  <si>
    <t xml:space="preserve">Avan</t>
  </si>
  <si>
    <t xml:space="preserve">Nubarashen</t>
  </si>
  <si>
    <t xml:space="preserve">Summary series used in the report's charts (indicative, spliced from multiple sources)</t>
  </si>
  <si>
    <t xml:space="preserve">Yerevan average price: Cadastre Committee via Finport/Armenpress/EVN Report. Rent: CivilNet, JAMnews, Mirror-Spectator, Numbeo. These are report-grade splices, not one official series — use the RPPI sheets for clean analysis.</t>
  </si>
  <si>
    <t xml:space="preserve">Yerevan average apartment price (AMD thousands per sq m)</t>
  </si>
  <si>
    <t xml:space="preserve">2013 (Feb)</t>
  </si>
  <si>
    <t xml:space="preserve">2020</t>
  </si>
  <si>
    <t xml:space="preserve">2021</t>
  </si>
  <si>
    <t xml:space="preserve">2022</t>
  </si>
  <si>
    <t xml:space="preserve">2023</t>
  </si>
  <si>
    <t xml:space="preserve">2024</t>
  </si>
  <si>
    <t xml:space="preserve">2025</t>
  </si>
  <si>
    <t xml:space="preserve">Central Yerevan one-bedroom monthly rent (US$, indicative)</t>
  </si>
  <si>
    <t xml:space="preserve">2022 peak</t>
  </si>
  <si>
    <t xml:space="preserve">2026 (listing avg)</t>
  </si>
  <si>
    <t xml:space="preserve">Armenia — IMF World Economic Outlook series (April 2026 database)</t>
  </si>
  <si>
    <t xml:space="preserve">Source: imf.org/external/datamapper API, downloaded Sep 2, 2026. Values from 2026 onward are IMF projections.</t>
  </si>
  <si>
    <t xml:space="preserve">Indicator</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</si>
  <si>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</si>
  <si>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</si>
  <si>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</si>
  <si>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</si>
  <si>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</si>
  <si>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</si>
  <si>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</si>
  <si>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</si>
  <si>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</si>
  <si>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</si>
  <si>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2026</t>
  </si>
  <si>
    <t xml:space="preserve">2027</t>
  </si>
  <si>
    <t xml:space="preserve">2028</t>
  </si>
  <si>
    <t xml:space="preserve">2029</t>
  </si>
  <si>
    <t xml:space="preserve">2030</t>
  </si>
  <si>
    <t xml:space="preserve">2031</t>
  </si>
  <si>
    <t xml:space="preserve">Real GDP growth (%)</t>
  </si>
  <si>
    <t xml:space="preserve">CPI inflation, avg (%)</t>
  </si>
  <si>
    <t xml:space="preserve">CPI inflation, eop (%)</t>
  </si>
  <si>
    <t xml:space="preserve">Current account (% GDP)</t>
  </si>
  <si>
    <t xml:space="preserve">GG net lending/borrowing (% GDP)</t>
  </si>
  <si>
    <t xml:space="preserve">GG gross debt (% GDP)</t>
  </si>
  <si>
    <t xml:space="preserve">Unemployment rate (%)</t>
  </si>
  <si>
    <t xml:space="preserve">Nominal GDP (US$ bn)</t>
  </si>
  <si>
    <t xml:space="preserve">GDP per capita (US$)</t>
  </si>
  <si>
    <t xml:space="preserve">Italics = IMF projections.</t>
  </si>
  <si>
    <t xml:space="preserve">Real GDP growth projections by institution (%, 2026 / 2027)</t>
  </si>
  <si>
    <t xml:space="preserve">Institution</t>
  </si>
  <si>
    <t xml:space="preserve">Vintage</t>
  </si>
  <si>
    <t xml:space="preserve">IMF (WEO)</t>
  </si>
  <si>
    <t xml:space="preserve">Apr 2026</t>
  </si>
  <si>
    <t xml:space="preserve">IMF (SBA 1st review)</t>
  </si>
  <si>
    <t xml:space="preserve">Jun 2026</t>
  </si>
  <si>
    <t xml:space="preserve">World Bank</t>
  </si>
  <si>
    <t xml:space="preserve">Spring 2026</t>
  </si>
  <si>
    <t xml:space="preserve">EBRD</t>
  </si>
  <si>
    <t xml:space="preserve">ADB</t>
  </si>
  <si>
    <t xml:space="preserve">Fitch</t>
  </si>
  <si>
    <t xml:space="preserve">Jul 2026</t>
  </si>
  <si>
    <t xml:space="preserve">Moody's</t>
  </si>
  <si>
    <t xml:space="preserve">5.0–5.5</t>
  </si>
  <si>
    <t xml:space="preserve">Government budget</t>
  </si>
  <si>
    <t xml:space="preserve">Dec 2025</t>
  </si>
  <si>
    <t xml:space="preserve">EDB</t>
  </si>
  <si>
    <t xml:space="preserve">Aug 2026</t>
  </si>
  <si>
    <t xml:space="preserve">Yerevan short-term rental metrics across analytics providers (TTM to mid-2026)</t>
  </si>
  <si>
    <t xml:space="preserve">Sources: airdna.co, airroi.com, airbtics.com Yerevan pages. Level gaps reflect definitional differences; direction is consistent.</t>
  </si>
  <si>
    <t xml:space="preserve">Metric</t>
  </si>
  <si>
    <t xml:space="preserve">AirDNA</t>
  </si>
  <si>
    <t xml:space="preserve">AirROI</t>
  </si>
  <si>
    <t xml:space="preserve">Airbtics (Jan 2026)</t>
  </si>
  <si>
    <t xml:space="preserve">Active listings</t>
  </si>
  <si>
    <t xml:space="preserve">6,014 (all STR)</t>
  </si>
  <si>
    <t xml:space="preserve">2,430</t>
  </si>
  <si>
    <t xml:space="preserve">2,762</t>
  </si>
  <si>
    <t xml:space="preserve">Average daily rate (US$)</t>
  </si>
  <si>
    <t xml:space="preserve">Occupancy</t>
  </si>
  <si>
    <t xml:space="preserve">62%</t>
  </si>
  <si>
    <t xml:space="preserve">39% (calendar basis)</t>
  </si>
  <si>
    <t xml:space="preserve">66% (median)</t>
  </si>
  <si>
    <t xml:space="preserve">Revenue per listing, per year (US$)</t>
  </si>
  <si>
    <t xml:space="preserve">8,100 avg.</t>
  </si>
  <si>
    <t xml:space="preserve">7,400 avg. / 10,000 median</t>
  </si>
  <si>
    <t xml:space="preserve">15,000 median</t>
  </si>
  <si>
    <t xml:space="preserve">Supply growth, y/y</t>
  </si>
  <si>
    <t xml:space="preserve">+13.7%</t>
  </si>
  <si>
    <t xml:space="preserve">+25.8%</t>
  </si>
  <si>
    <t xml:space="preserve">+34.1% (3-yr +102%)</t>
  </si>
  <si>
    <t xml:space="preserve">Professionally managed share</t>
  </si>
  <si>
    <t xml:space="preserve">0.2%</t>
  </si>
  <si>
    <t xml:space="preserve">—</t>
  </si>
  <si>
    <t xml:space="preserve">Seasonality (monthly revenue)</t>
  </si>
  <si>
    <t xml:space="preserve">Aug ~US$1,300–1,450 vs Feb ~US$730–780</t>
  </si>
  <si>
    <t xml:space="preserve">Average stay</t>
  </si>
  <si>
    <t xml:space="preserve">7.3 nights</t>
  </si>
  <si>
    <t xml:space="preserve">Rental yield calculator — edit the blue cells on yellow fill</t>
  </si>
  <si>
    <t xml:space="preserve">Prefilled example: a renovated 60 sq m Kentron one-bedroom at cadastre-consistent values, long-term let. Tax: flat 10% of gross rent (unregistered individual).</t>
  </si>
  <si>
    <t xml:space="preserve">Purchase price (US$)</t>
  </si>
  <si>
    <t xml:space="preserve">Monthly rent (US$)</t>
  </si>
  <si>
    <t xml:space="preserve">Occupancy (share of year let)</t>
  </si>
  <si>
    <t xml:space="preserve">Income tax on gross rent</t>
  </si>
  <si>
    <t xml:space="preserve">Other annual costs, % of rent (upkeep, mgmt, property tax)</t>
  </si>
  <si>
    <t xml:space="preserve">Gross annual rent (US$)</t>
  </si>
  <si>
    <t xml:space="preserve">Gross yield</t>
  </si>
  <si>
    <t xml:space="preserve">Net annual income (US$)</t>
  </si>
  <si>
    <t xml:space="preserve">Net yield</t>
  </si>
  <si>
    <t xml:space="preserve">Total return at 3% price growth</t>
  </si>
  <si>
    <t xml:space="preserve">Total return at 7% price growth</t>
  </si>
  <si>
    <t xml:space="preserve">Blue on yellow = your inputs; black = formulas. Benchmarks: gross 5.5–7% center, 7–10% Arabkir/mid-ring; net typically 1.5–2 pp below gross.</t>
  </si>
</sst>
</file>

<file path=xl/styles.xml><?xml version="1.0" encoding="utf-8"?>
<styleSheet xmlns="http://schemas.openxmlformats.org/spreadsheetml/2006/main">
  <numFmts count="7">
    <numFmt numFmtId="164" formatCode="General"/>
    <numFmt numFmtId="165" formatCode="0.0"/>
    <numFmt numFmtId="166" formatCode="0.0%"/>
    <numFmt numFmtId="167" formatCode="#,##0"/>
    <numFmt numFmtId="168" formatCode="#,##0.0"/>
    <numFmt numFmtId="169" formatCode="0"/>
    <numFmt numFmtId="170" formatCode="0%"/>
  </numFmts>
  <fonts count="12">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666666"/>
      <name val="Arial"/>
      <family val="0"/>
      <charset val="1"/>
    </font>
    <font>
      <sz val="10"/>
      <color rgb="FF000000"/>
      <name val="Arial"/>
      <family val="0"/>
      <charset val="1"/>
    </font>
    <font>
      <b val="true"/>
      <sz val="10"/>
      <color rgb="FF000000"/>
      <name val="Arial"/>
      <family val="0"/>
      <charset val="1"/>
    </font>
    <font>
      <b val="true"/>
      <sz val="18"/>
      <color rgb="FF000000"/>
      <name val="Calibri"/>
      <family val="2"/>
    </font>
    <font>
      <sz val="10"/>
      <color rgb="FF000000"/>
      <name val="Calibri"/>
      <family val="2"/>
    </font>
    <font>
      <sz val="10"/>
      <color rgb="FF0000FF"/>
      <name val="Arial"/>
      <family val="0"/>
      <charset val="1"/>
    </font>
    <font>
      <i val="true"/>
      <sz val="10"/>
      <color rgb="FF000000"/>
      <name val="Arial"/>
      <family val="0"/>
      <charset val="1"/>
    </font>
  </fonts>
  <fills count="4">
    <fill>
      <patternFill patternType="none"/>
    </fill>
    <fill>
      <patternFill patternType="gray125"/>
    </fill>
    <fill>
      <patternFill patternType="solid">
        <fgColor rgb="FFDEEBF7"/>
        <bgColor rgb="FFD9D9D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C0C0C0"/>
      <rgbColor rgb="FF878787"/>
      <rgbColor rgb="FF9999FF"/>
      <rgbColor rgb="FFBE4B48"/>
      <rgbColor rgb="FFFFFF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7D5FA0"/>
      <rgbColor rgb="FF969696"/>
      <rgbColor rgb="FF003366"/>
      <rgbColor rgb="FF4F81BD"/>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RPPI: Armenia, Yerevan apartments, Yerevan-Center, houses (2018=100)</a:t>
            </a:r>
          </a:p>
        </c:rich>
      </c:tx>
      <c:overlay val="0"/>
      <c:spPr>
        <a:noFill/>
        <a:ln w="0">
          <a:noFill/>
        </a:ln>
      </c:spPr>
    </c:title>
    <c:autoTitleDeleted val="0"/>
    <c:plotArea>
      <c:lineChart>
        <c:grouping val="standard"/>
        <c:varyColors val="0"/>
        <c:ser>
          <c:idx val="0"/>
          <c:order val="0"/>
          <c:tx>
            <c:strRef>
              <c:f>'RPPI Index (CBA)'!B4</c:f>
              <c:strCache>
                <c:ptCount val="1"/>
                <c:pt idx="0">
                  <c:v>RPPI Armenia</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'RPPI Index (CBA)'!$A$5:$A$38</c:f>
              <c:strCache>
                <c:ptCount val="34"/>
                <c:pt idx="0">
                  <c:v>2018Q1</c:v>
                </c:pt>
                <c:pt idx="1">
                  <c:v>2018Q2</c:v>
                </c:pt>
                <c:pt idx="2">
                  <c:v>2018Q3</c:v>
                </c:pt>
                <c:pt idx="3">
                  <c:v>2018Q4</c:v>
                </c:pt>
                <c:pt idx="4">
                  <c:v>2019Q1</c:v>
                </c:pt>
                <c:pt idx="5">
                  <c:v>2019Q2</c:v>
                </c:pt>
                <c:pt idx="6">
                  <c:v>2019Q3</c:v>
                </c:pt>
                <c:pt idx="7">
                  <c:v>2019Q4</c:v>
                </c:pt>
                <c:pt idx="8">
                  <c:v>2020Q1</c:v>
                </c:pt>
                <c:pt idx="9">
                  <c:v>2020Q2</c:v>
                </c:pt>
                <c:pt idx="10">
                  <c:v>2020Q3</c:v>
                </c:pt>
                <c:pt idx="11">
                  <c:v>2020Q4</c:v>
                </c:pt>
                <c:pt idx="12">
                  <c:v>2021Q1</c:v>
                </c:pt>
                <c:pt idx="13">
                  <c:v>2021Q2</c:v>
                </c:pt>
                <c:pt idx="14">
                  <c:v>2021Q3</c:v>
                </c:pt>
                <c:pt idx="15">
                  <c:v>2021Q4</c:v>
                </c:pt>
                <c:pt idx="16">
                  <c:v>2022Q1</c:v>
                </c:pt>
                <c:pt idx="17">
                  <c:v>2022Q2</c:v>
                </c:pt>
                <c:pt idx="18">
                  <c:v>2022Q3</c:v>
                </c:pt>
                <c:pt idx="19">
                  <c:v>2022Q4</c:v>
                </c:pt>
                <c:pt idx="20">
                  <c:v>2023Q1</c:v>
                </c:pt>
                <c:pt idx="21">
                  <c:v>2023Q2</c:v>
                </c:pt>
                <c:pt idx="22">
                  <c:v>2023Q3</c:v>
                </c:pt>
                <c:pt idx="23">
                  <c:v>2023Q4</c:v>
                </c:pt>
                <c:pt idx="24">
                  <c:v>2024Q1</c:v>
                </c:pt>
                <c:pt idx="25">
                  <c:v>2024Q2</c:v>
                </c:pt>
                <c:pt idx="26">
                  <c:v>2024Q3</c:v>
                </c:pt>
                <c:pt idx="27">
                  <c:v>2024Q4</c:v>
                </c:pt>
                <c:pt idx="28">
                  <c:v>2025Q1</c:v>
                </c:pt>
                <c:pt idx="29">
                  <c:v>2025Q2</c:v>
                </c:pt>
                <c:pt idx="30">
                  <c:v>2025Q3</c:v>
                </c:pt>
                <c:pt idx="31">
                  <c:v>2025Q4</c:v>
                </c:pt>
                <c:pt idx="32">
                  <c:v>2026Q1</c:v>
                </c:pt>
                <c:pt idx="33">
                  <c:v>2026Q2</c:v>
                </c:pt>
              </c:strCache>
            </c:strRef>
          </c:cat>
          <c:val>
            <c:numRef>
              <c:f>'RPPI Index (CBA)'!$B$5:$B$38</c:f>
              <c:numCache>
                <c:formatCode>0.0</c:formatCode>
                <c:ptCount val="34"/>
                <c:pt idx="0">
                  <c:v>92.8</c:v>
                </c:pt>
                <c:pt idx="1">
                  <c:v>97</c:v>
                </c:pt>
                <c:pt idx="2">
                  <c:v>103</c:v>
                </c:pt>
                <c:pt idx="3">
                  <c:v>107.2</c:v>
                </c:pt>
                <c:pt idx="4">
                  <c:v>110.4</c:v>
                </c:pt>
                <c:pt idx="5">
                  <c:v>115.1</c:v>
                </c:pt>
                <c:pt idx="6">
                  <c:v>116.5</c:v>
                </c:pt>
                <c:pt idx="7">
                  <c:v>118.9</c:v>
                </c:pt>
                <c:pt idx="8">
                  <c:v>125.5</c:v>
                </c:pt>
                <c:pt idx="9">
                  <c:v>125.8</c:v>
                </c:pt>
                <c:pt idx="10">
                  <c:v>129.3</c:v>
                </c:pt>
                <c:pt idx="11">
                  <c:v>128</c:v>
                </c:pt>
                <c:pt idx="12">
                  <c:v>134.1</c:v>
                </c:pt>
                <c:pt idx="13">
                  <c:v>137.9</c:v>
                </c:pt>
                <c:pt idx="14">
                  <c:v>136.9</c:v>
                </c:pt>
                <c:pt idx="15">
                  <c:v>137.3</c:v>
                </c:pt>
                <c:pt idx="16">
                  <c:v>143.3</c:v>
                </c:pt>
                <c:pt idx="17">
                  <c:v>146.2</c:v>
                </c:pt>
                <c:pt idx="18">
                  <c:v>136.1</c:v>
                </c:pt>
                <c:pt idx="19">
                  <c:v>140</c:v>
                </c:pt>
                <c:pt idx="20">
                  <c:v>153.5</c:v>
                </c:pt>
                <c:pt idx="21">
                  <c:v>160.2</c:v>
                </c:pt>
                <c:pt idx="22">
                  <c:v>164.3</c:v>
                </c:pt>
                <c:pt idx="23">
                  <c:v>170.2</c:v>
                </c:pt>
                <c:pt idx="24">
                  <c:v>166.3</c:v>
                </c:pt>
                <c:pt idx="25">
                  <c:v>168.9</c:v>
                </c:pt>
                <c:pt idx="26">
                  <c:v>168.6</c:v>
                </c:pt>
                <c:pt idx="27">
                  <c:v>165.8</c:v>
                </c:pt>
                <c:pt idx="28">
                  <c:v>170.5</c:v>
                </c:pt>
                <c:pt idx="29">
                  <c:v>174.5</c:v>
                </c:pt>
                <c:pt idx="30">
                  <c:v>177.9</c:v>
                </c:pt>
                <c:pt idx="31">
                  <c:v>186</c:v>
                </c:pt>
                <c:pt idx="32">
                  <c:v>185.8</c:v>
                </c:pt>
                <c:pt idx="33">
                  <c:v>195.5</c:v>
                </c:pt>
              </c:numCache>
            </c:numRef>
          </c:val>
          <c:smooth val="1"/>
        </c:ser>
        <c:ser>
          <c:idx val="1"/>
          <c:order val="1"/>
          <c:tx>
            <c:strRef>
              <c:f>'RPPI Index (CBA)'!D4</c:f>
              <c:strCache>
                <c:ptCount val="1"/>
                <c:pt idx="0">
                  <c:v>Apartments Yerevan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'RPPI Index (CBA)'!$A$5:$A$38</c:f>
              <c:strCache>
                <c:ptCount val="34"/>
                <c:pt idx="0">
                  <c:v>2018Q1</c:v>
                </c:pt>
                <c:pt idx="1">
                  <c:v>2018Q2</c:v>
                </c:pt>
                <c:pt idx="2">
                  <c:v>2018Q3</c:v>
                </c:pt>
                <c:pt idx="3">
                  <c:v>2018Q4</c:v>
                </c:pt>
                <c:pt idx="4">
                  <c:v>2019Q1</c:v>
                </c:pt>
                <c:pt idx="5">
                  <c:v>2019Q2</c:v>
                </c:pt>
                <c:pt idx="6">
                  <c:v>2019Q3</c:v>
                </c:pt>
                <c:pt idx="7">
                  <c:v>2019Q4</c:v>
                </c:pt>
                <c:pt idx="8">
                  <c:v>2020Q1</c:v>
                </c:pt>
                <c:pt idx="9">
                  <c:v>2020Q2</c:v>
                </c:pt>
                <c:pt idx="10">
                  <c:v>2020Q3</c:v>
                </c:pt>
                <c:pt idx="11">
                  <c:v>2020Q4</c:v>
                </c:pt>
                <c:pt idx="12">
                  <c:v>2021Q1</c:v>
                </c:pt>
                <c:pt idx="13">
                  <c:v>2021Q2</c:v>
                </c:pt>
                <c:pt idx="14">
                  <c:v>2021Q3</c:v>
                </c:pt>
                <c:pt idx="15">
                  <c:v>2021Q4</c:v>
                </c:pt>
                <c:pt idx="16">
                  <c:v>2022Q1</c:v>
                </c:pt>
                <c:pt idx="17">
                  <c:v>2022Q2</c:v>
                </c:pt>
                <c:pt idx="18">
                  <c:v>2022Q3</c:v>
                </c:pt>
                <c:pt idx="19">
                  <c:v>2022Q4</c:v>
                </c:pt>
                <c:pt idx="20">
                  <c:v>2023Q1</c:v>
                </c:pt>
                <c:pt idx="21">
                  <c:v>2023Q2</c:v>
                </c:pt>
                <c:pt idx="22">
                  <c:v>2023Q3</c:v>
                </c:pt>
                <c:pt idx="23">
                  <c:v>2023Q4</c:v>
                </c:pt>
                <c:pt idx="24">
                  <c:v>2024Q1</c:v>
                </c:pt>
                <c:pt idx="25">
                  <c:v>2024Q2</c:v>
                </c:pt>
                <c:pt idx="26">
                  <c:v>2024Q3</c:v>
                </c:pt>
                <c:pt idx="27">
                  <c:v>2024Q4</c:v>
                </c:pt>
                <c:pt idx="28">
                  <c:v>2025Q1</c:v>
                </c:pt>
                <c:pt idx="29">
                  <c:v>2025Q2</c:v>
                </c:pt>
                <c:pt idx="30">
                  <c:v>2025Q3</c:v>
                </c:pt>
                <c:pt idx="31">
                  <c:v>2025Q4</c:v>
                </c:pt>
                <c:pt idx="32">
                  <c:v>2026Q1</c:v>
                </c:pt>
                <c:pt idx="33">
                  <c:v>2026Q2</c:v>
                </c:pt>
              </c:strCache>
            </c:strRef>
          </c:cat>
          <c:val>
            <c:numRef>
              <c:f>'RPPI Index (CBA)'!$D$5:$D$38</c:f>
              <c:numCache>
                <c:formatCode>0.0</c:formatCode>
                <c:ptCount val="34"/>
                <c:pt idx="0">
                  <c:v>92.7</c:v>
                </c:pt>
                <c:pt idx="1">
                  <c:v>96.5</c:v>
                </c:pt>
                <c:pt idx="2">
                  <c:v>102.5</c:v>
                </c:pt>
                <c:pt idx="3">
                  <c:v>108.3</c:v>
                </c:pt>
                <c:pt idx="4">
                  <c:v>112.1</c:v>
                </c:pt>
                <c:pt idx="5">
                  <c:v>116.9</c:v>
                </c:pt>
                <c:pt idx="6">
                  <c:v>118.3</c:v>
                </c:pt>
                <c:pt idx="7">
                  <c:v>120.6</c:v>
                </c:pt>
                <c:pt idx="8">
                  <c:v>130.4</c:v>
                </c:pt>
                <c:pt idx="9">
                  <c:v>129.2</c:v>
                </c:pt>
                <c:pt idx="10">
                  <c:v>132.2</c:v>
                </c:pt>
                <c:pt idx="11">
                  <c:v>129.1</c:v>
                </c:pt>
                <c:pt idx="12">
                  <c:v>135.1</c:v>
                </c:pt>
                <c:pt idx="13">
                  <c:v>135.4</c:v>
                </c:pt>
                <c:pt idx="14">
                  <c:v>134.5</c:v>
                </c:pt>
                <c:pt idx="15">
                  <c:v>136</c:v>
                </c:pt>
                <c:pt idx="16">
                  <c:v>140.3</c:v>
                </c:pt>
                <c:pt idx="17">
                  <c:v>144.6</c:v>
                </c:pt>
                <c:pt idx="18">
                  <c:v>134.4</c:v>
                </c:pt>
                <c:pt idx="19">
                  <c:v>136.6</c:v>
                </c:pt>
                <c:pt idx="20">
                  <c:v>152.2</c:v>
                </c:pt>
                <c:pt idx="21">
                  <c:v>159.9</c:v>
                </c:pt>
                <c:pt idx="22">
                  <c:v>163.2</c:v>
                </c:pt>
                <c:pt idx="23">
                  <c:v>170.5</c:v>
                </c:pt>
                <c:pt idx="24">
                  <c:v>165.7</c:v>
                </c:pt>
                <c:pt idx="25">
                  <c:v>160.4</c:v>
                </c:pt>
                <c:pt idx="26">
                  <c:v>162.5</c:v>
                </c:pt>
                <c:pt idx="27">
                  <c:v>161.9</c:v>
                </c:pt>
                <c:pt idx="28">
                  <c:v>162.1</c:v>
                </c:pt>
                <c:pt idx="29">
                  <c:v>162.5</c:v>
                </c:pt>
                <c:pt idx="30">
                  <c:v>163.5</c:v>
                </c:pt>
                <c:pt idx="31">
                  <c:v>172.6</c:v>
                </c:pt>
                <c:pt idx="32">
                  <c:v>172.1</c:v>
                </c:pt>
                <c:pt idx="33">
                  <c:v>180.5</c:v>
                </c:pt>
              </c:numCache>
            </c:numRef>
          </c:val>
          <c:smooth val="1"/>
        </c:ser>
        <c:ser>
          <c:idx val="2"/>
          <c:order val="2"/>
          <c:tx>
            <c:strRef>
              <c:f>'RPPI Index (CBA)'!E4</c:f>
              <c:strCache>
                <c:ptCount val="1"/>
                <c:pt idx="0">
                  <c:v>Yerevan-Center</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'RPPI Index (CBA)'!$A$5:$A$38</c:f>
              <c:strCache>
                <c:ptCount val="34"/>
                <c:pt idx="0">
                  <c:v>2018Q1</c:v>
                </c:pt>
                <c:pt idx="1">
                  <c:v>2018Q2</c:v>
                </c:pt>
                <c:pt idx="2">
                  <c:v>2018Q3</c:v>
                </c:pt>
                <c:pt idx="3">
                  <c:v>2018Q4</c:v>
                </c:pt>
                <c:pt idx="4">
                  <c:v>2019Q1</c:v>
                </c:pt>
                <c:pt idx="5">
                  <c:v>2019Q2</c:v>
                </c:pt>
                <c:pt idx="6">
                  <c:v>2019Q3</c:v>
                </c:pt>
                <c:pt idx="7">
                  <c:v>2019Q4</c:v>
                </c:pt>
                <c:pt idx="8">
                  <c:v>2020Q1</c:v>
                </c:pt>
                <c:pt idx="9">
                  <c:v>2020Q2</c:v>
                </c:pt>
                <c:pt idx="10">
                  <c:v>2020Q3</c:v>
                </c:pt>
                <c:pt idx="11">
                  <c:v>2020Q4</c:v>
                </c:pt>
                <c:pt idx="12">
                  <c:v>2021Q1</c:v>
                </c:pt>
                <c:pt idx="13">
                  <c:v>2021Q2</c:v>
                </c:pt>
                <c:pt idx="14">
                  <c:v>2021Q3</c:v>
                </c:pt>
                <c:pt idx="15">
                  <c:v>2021Q4</c:v>
                </c:pt>
                <c:pt idx="16">
                  <c:v>2022Q1</c:v>
                </c:pt>
                <c:pt idx="17">
                  <c:v>2022Q2</c:v>
                </c:pt>
                <c:pt idx="18">
                  <c:v>2022Q3</c:v>
                </c:pt>
                <c:pt idx="19">
                  <c:v>2022Q4</c:v>
                </c:pt>
                <c:pt idx="20">
                  <c:v>2023Q1</c:v>
                </c:pt>
                <c:pt idx="21">
                  <c:v>2023Q2</c:v>
                </c:pt>
                <c:pt idx="22">
                  <c:v>2023Q3</c:v>
                </c:pt>
                <c:pt idx="23">
                  <c:v>2023Q4</c:v>
                </c:pt>
                <c:pt idx="24">
                  <c:v>2024Q1</c:v>
                </c:pt>
                <c:pt idx="25">
                  <c:v>2024Q2</c:v>
                </c:pt>
                <c:pt idx="26">
                  <c:v>2024Q3</c:v>
                </c:pt>
                <c:pt idx="27">
                  <c:v>2024Q4</c:v>
                </c:pt>
                <c:pt idx="28">
                  <c:v>2025Q1</c:v>
                </c:pt>
                <c:pt idx="29">
                  <c:v>2025Q2</c:v>
                </c:pt>
                <c:pt idx="30">
                  <c:v>2025Q3</c:v>
                </c:pt>
                <c:pt idx="31">
                  <c:v>2025Q4</c:v>
                </c:pt>
                <c:pt idx="32">
                  <c:v>2026Q1</c:v>
                </c:pt>
                <c:pt idx="33">
                  <c:v>2026Q2</c:v>
                </c:pt>
              </c:strCache>
            </c:strRef>
          </c:cat>
          <c:val>
            <c:numRef>
              <c:f>'RPPI Index (CBA)'!$E$5:$E$38</c:f>
              <c:numCache>
                <c:formatCode>0.0</c:formatCode>
                <c:ptCount val="34"/>
                <c:pt idx="0">
                  <c:v>90.6</c:v>
                </c:pt>
                <c:pt idx="1">
                  <c:v>95.4</c:v>
                </c:pt>
                <c:pt idx="2">
                  <c:v>104.8</c:v>
                </c:pt>
                <c:pt idx="3">
                  <c:v>109.2</c:v>
                </c:pt>
                <c:pt idx="4">
                  <c:v>112.9</c:v>
                </c:pt>
                <c:pt idx="5">
                  <c:v>118.4</c:v>
                </c:pt>
                <c:pt idx="6">
                  <c:v>118.5</c:v>
                </c:pt>
                <c:pt idx="7">
                  <c:v>117.1</c:v>
                </c:pt>
                <c:pt idx="8">
                  <c:v>127.5</c:v>
                </c:pt>
                <c:pt idx="9">
                  <c:v>123.7</c:v>
                </c:pt>
                <c:pt idx="10">
                  <c:v>128.7</c:v>
                </c:pt>
                <c:pt idx="11">
                  <c:v>122.2</c:v>
                </c:pt>
                <c:pt idx="12">
                  <c:v>134.5</c:v>
                </c:pt>
                <c:pt idx="13">
                  <c:v>132.2</c:v>
                </c:pt>
                <c:pt idx="14">
                  <c:v>133.7</c:v>
                </c:pt>
                <c:pt idx="15">
                  <c:v>139</c:v>
                </c:pt>
                <c:pt idx="16">
                  <c:v>141.4</c:v>
                </c:pt>
                <c:pt idx="17">
                  <c:v>144.6</c:v>
                </c:pt>
                <c:pt idx="18">
                  <c:v>141.1</c:v>
                </c:pt>
                <c:pt idx="19">
                  <c:v>141</c:v>
                </c:pt>
                <c:pt idx="20">
                  <c:v>165.5</c:v>
                </c:pt>
                <c:pt idx="21">
                  <c:v>174.1</c:v>
                </c:pt>
                <c:pt idx="22">
                  <c:v>184.6</c:v>
                </c:pt>
                <c:pt idx="23">
                  <c:v>187.1</c:v>
                </c:pt>
                <c:pt idx="24">
                  <c:v>185.8</c:v>
                </c:pt>
                <c:pt idx="25">
                  <c:v>177.5</c:v>
                </c:pt>
                <c:pt idx="26">
                  <c:v>180.3</c:v>
                </c:pt>
                <c:pt idx="27">
                  <c:v>181.4</c:v>
                </c:pt>
                <c:pt idx="28">
                  <c:v>176.9</c:v>
                </c:pt>
                <c:pt idx="29">
                  <c:v>167.4</c:v>
                </c:pt>
                <c:pt idx="30">
                  <c:v>171.9</c:v>
                </c:pt>
                <c:pt idx="31">
                  <c:v>192.8</c:v>
                </c:pt>
                <c:pt idx="32">
                  <c:v>194.2</c:v>
                </c:pt>
                <c:pt idx="33">
                  <c:v>207.5</c:v>
                </c:pt>
              </c:numCache>
            </c:numRef>
          </c:val>
          <c:smooth val="1"/>
        </c:ser>
        <c:ser>
          <c:idx val="3"/>
          <c:order val="3"/>
          <c:tx>
            <c:strRef>
              <c:f>'RPPI Index (CBA)'!K4</c:f>
              <c:strCache>
                <c:ptCount val="1"/>
                <c:pt idx="0">
                  <c:v>Houses Armenia</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'RPPI Index (CBA)'!$A$5:$A$38</c:f>
              <c:strCache>
                <c:ptCount val="34"/>
                <c:pt idx="0">
                  <c:v>2018Q1</c:v>
                </c:pt>
                <c:pt idx="1">
                  <c:v>2018Q2</c:v>
                </c:pt>
                <c:pt idx="2">
                  <c:v>2018Q3</c:v>
                </c:pt>
                <c:pt idx="3">
                  <c:v>2018Q4</c:v>
                </c:pt>
                <c:pt idx="4">
                  <c:v>2019Q1</c:v>
                </c:pt>
                <c:pt idx="5">
                  <c:v>2019Q2</c:v>
                </c:pt>
                <c:pt idx="6">
                  <c:v>2019Q3</c:v>
                </c:pt>
                <c:pt idx="7">
                  <c:v>2019Q4</c:v>
                </c:pt>
                <c:pt idx="8">
                  <c:v>2020Q1</c:v>
                </c:pt>
                <c:pt idx="9">
                  <c:v>2020Q2</c:v>
                </c:pt>
                <c:pt idx="10">
                  <c:v>2020Q3</c:v>
                </c:pt>
                <c:pt idx="11">
                  <c:v>2020Q4</c:v>
                </c:pt>
                <c:pt idx="12">
                  <c:v>2021Q1</c:v>
                </c:pt>
                <c:pt idx="13">
                  <c:v>2021Q2</c:v>
                </c:pt>
                <c:pt idx="14">
                  <c:v>2021Q3</c:v>
                </c:pt>
                <c:pt idx="15">
                  <c:v>2021Q4</c:v>
                </c:pt>
                <c:pt idx="16">
                  <c:v>2022Q1</c:v>
                </c:pt>
                <c:pt idx="17">
                  <c:v>2022Q2</c:v>
                </c:pt>
                <c:pt idx="18">
                  <c:v>2022Q3</c:v>
                </c:pt>
                <c:pt idx="19">
                  <c:v>2022Q4</c:v>
                </c:pt>
                <c:pt idx="20">
                  <c:v>2023Q1</c:v>
                </c:pt>
                <c:pt idx="21">
                  <c:v>2023Q2</c:v>
                </c:pt>
                <c:pt idx="22">
                  <c:v>2023Q3</c:v>
                </c:pt>
                <c:pt idx="23">
                  <c:v>2023Q4</c:v>
                </c:pt>
                <c:pt idx="24">
                  <c:v>2024Q1</c:v>
                </c:pt>
                <c:pt idx="25">
                  <c:v>2024Q2</c:v>
                </c:pt>
                <c:pt idx="26">
                  <c:v>2024Q3</c:v>
                </c:pt>
                <c:pt idx="27">
                  <c:v>2024Q4</c:v>
                </c:pt>
                <c:pt idx="28">
                  <c:v>2025Q1</c:v>
                </c:pt>
                <c:pt idx="29">
                  <c:v>2025Q2</c:v>
                </c:pt>
                <c:pt idx="30">
                  <c:v>2025Q3</c:v>
                </c:pt>
                <c:pt idx="31">
                  <c:v>2025Q4</c:v>
                </c:pt>
                <c:pt idx="32">
                  <c:v>2026Q1</c:v>
                </c:pt>
                <c:pt idx="33">
                  <c:v>2026Q2</c:v>
                </c:pt>
              </c:strCache>
            </c:strRef>
          </c:cat>
          <c:val>
            <c:numRef>
              <c:f>'RPPI Index (CBA)'!$K$5:$K$38</c:f>
              <c:numCache>
                <c:formatCode>0.0</c:formatCode>
                <c:ptCount val="34"/>
                <c:pt idx="0">
                  <c:v>93.2</c:v>
                </c:pt>
                <c:pt idx="1">
                  <c:v>97.9</c:v>
                </c:pt>
                <c:pt idx="2">
                  <c:v>105.1</c:v>
                </c:pt>
                <c:pt idx="3">
                  <c:v>103.9</c:v>
                </c:pt>
                <c:pt idx="4">
                  <c:v>104.6</c:v>
                </c:pt>
                <c:pt idx="5">
                  <c:v>108.2</c:v>
                </c:pt>
                <c:pt idx="6">
                  <c:v>110.8</c:v>
                </c:pt>
                <c:pt idx="7">
                  <c:v>110.7</c:v>
                </c:pt>
                <c:pt idx="8">
                  <c:v>109.5</c:v>
                </c:pt>
                <c:pt idx="9">
                  <c:v>114</c:v>
                </c:pt>
                <c:pt idx="10">
                  <c:v>117.2</c:v>
                </c:pt>
                <c:pt idx="11">
                  <c:v>116.3</c:v>
                </c:pt>
                <c:pt idx="12">
                  <c:v>125</c:v>
                </c:pt>
                <c:pt idx="13">
                  <c:v>136.3</c:v>
                </c:pt>
                <c:pt idx="14">
                  <c:v>133.7</c:v>
                </c:pt>
                <c:pt idx="15">
                  <c:v>132</c:v>
                </c:pt>
                <c:pt idx="16">
                  <c:v>141.5</c:v>
                </c:pt>
                <c:pt idx="17">
                  <c:v>139.2</c:v>
                </c:pt>
                <c:pt idx="18">
                  <c:v>133.8</c:v>
                </c:pt>
                <c:pt idx="19">
                  <c:v>140.6</c:v>
                </c:pt>
                <c:pt idx="20">
                  <c:v>149.3</c:v>
                </c:pt>
                <c:pt idx="21">
                  <c:v>147.1</c:v>
                </c:pt>
                <c:pt idx="22">
                  <c:v>154</c:v>
                </c:pt>
                <c:pt idx="23">
                  <c:v>150.5</c:v>
                </c:pt>
                <c:pt idx="24">
                  <c:v>156</c:v>
                </c:pt>
                <c:pt idx="25">
                  <c:v>166.8</c:v>
                </c:pt>
                <c:pt idx="26">
                  <c:v>163.5</c:v>
                </c:pt>
                <c:pt idx="27">
                  <c:v>157.1</c:v>
                </c:pt>
                <c:pt idx="28">
                  <c:v>174.2</c:v>
                </c:pt>
                <c:pt idx="29">
                  <c:v>187.3</c:v>
                </c:pt>
                <c:pt idx="30">
                  <c:v>194</c:v>
                </c:pt>
                <c:pt idx="31">
                  <c:v>199.8</c:v>
                </c:pt>
                <c:pt idx="32">
                  <c:v>200.8</c:v>
                </c:pt>
                <c:pt idx="33">
                  <c:v>215.4</c:v>
                </c:pt>
              </c:numCache>
            </c:numRef>
          </c:val>
          <c:smooth val="1"/>
        </c:ser>
        <c:hiLowLines>
          <c:spPr>
            <a:ln w="0">
              <a:noFill/>
            </a:ln>
          </c:spPr>
        </c:hiLowLines>
        <c:marker val="0"/>
        <c:axId val="38124914"/>
        <c:axId val="80041068"/>
      </c:lineChart>
      <c:catAx>
        <c:axId val="381249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41068"/>
        <c:crosses val="autoZero"/>
        <c:auto val="1"/>
        <c:lblAlgn val="ctr"/>
        <c:lblOffset val="100"/>
        <c:noMultiLvlLbl val="0"/>
      </c:catAx>
      <c:valAx>
        <c:axId val="8004106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1249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Price per sq m by district, Jun 2026 (AMD thousands)</a:t>
            </a:r>
          </a:p>
        </c:rich>
      </c:tx>
      <c:overlay val="0"/>
      <c:spPr>
        <a:noFill/>
        <a:ln w="0">
          <a:noFill/>
        </a:ln>
      </c:spPr>
    </c:title>
    <c:autoTitleDeleted val="0"/>
    <c:plotArea>
      <c:barChart>
        <c:barDir val="bar"/>
        <c:grouping val="clustered"/>
        <c:varyColors val="0"/>
        <c:ser>
          <c:idx val="0"/>
          <c:order val="0"/>
          <c:tx>
            <c:strRef>
              <c:f>'District Prices'!D5</c:f>
              <c:strCache>
                <c:ptCount val="1"/>
                <c:pt idx="0">
                  <c:v>Jun 2026 (AMD th/sqm)</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'District Prices'!$A$6:$A$17</c:f>
              <c:strCache>
                <c:ptCount val="12"/>
                <c:pt idx="0">
                  <c:v>Kentron</c:v>
                </c:pt>
                <c:pt idx="1">
                  <c:v>Arabkir</c:v>
                </c:pt>
                <c:pt idx="2">
                  <c:v>Nork-Marash</c:v>
                </c:pt>
                <c:pt idx="3">
                  <c:v>Davtashen</c:v>
                </c:pt>
                <c:pt idx="4">
                  <c:v>Kanaker-Zeytun</c:v>
                </c:pt>
                <c:pt idx="5">
                  <c:v>Ajapnyak</c:v>
                </c:pt>
                <c:pt idx="6">
                  <c:v>Nor Nork</c:v>
                </c:pt>
                <c:pt idx="7">
                  <c:v>Shengavit</c:v>
                </c:pt>
                <c:pt idx="8">
                  <c:v>Malatia-Sebastia</c:v>
                </c:pt>
                <c:pt idx="9">
                  <c:v>Erebuni</c:v>
                </c:pt>
                <c:pt idx="10">
                  <c:v>Avan</c:v>
                </c:pt>
                <c:pt idx="11">
                  <c:v>Nubarashen</c:v>
                </c:pt>
              </c:strCache>
            </c:strRef>
          </c:cat>
          <c:val>
            <c:numRef>
              <c:f>'District Prices'!$D$6:$D$17</c:f>
              <c:numCache>
                <c:formatCode>#,##0.0</c:formatCode>
                <c:ptCount val="12"/>
                <c:pt idx="0">
                  <c:v>966.9</c:v>
                </c:pt>
                <c:pt idx="1">
                  <c:v>703.7</c:v>
                </c:pt>
                <c:pt idx="2">
                  <c:v>562.2</c:v>
                </c:pt>
                <c:pt idx="3">
                  <c:v>555</c:v>
                </c:pt>
                <c:pt idx="4">
                  <c:v>529.7</c:v>
                </c:pt>
                <c:pt idx="5">
                  <c:v>491</c:v>
                </c:pt>
                <c:pt idx="6">
                  <c:v>483</c:v>
                </c:pt>
                <c:pt idx="7">
                  <c:v>483</c:v>
                </c:pt>
                <c:pt idx="8">
                  <c:v>482.9</c:v>
                </c:pt>
                <c:pt idx="9">
                  <c:v>481</c:v>
                </c:pt>
                <c:pt idx="10">
                  <c:v>473</c:v>
                </c:pt>
                <c:pt idx="11">
                  <c:v>271</c:v>
                </c:pt>
              </c:numCache>
            </c:numRef>
          </c:val>
        </c:ser>
        <c:gapWidth val="150"/>
        <c:overlap val="0"/>
        <c:axId val="82436848"/>
        <c:axId val="15863737"/>
      </c:barChart>
      <c:catAx>
        <c:axId val="824368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63737"/>
        <c:crosses val="autoZero"/>
        <c:auto val="1"/>
        <c:lblAlgn val="ctr"/>
        <c:lblOffset val="100"/>
        <c:noMultiLvlLbl val="0"/>
      </c:catAx>
      <c:valAx>
        <c:axId val="1586373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4368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2</xdr:row>
      <xdr:rowOff>176040</xdr:rowOff>
    </xdr:from>
    <xdr:to>
      <xdr:col>30</xdr:col>
      <xdr:colOff>78480</xdr:colOff>
      <xdr:row>19</xdr:row>
      <xdr:rowOff>64800</xdr:rowOff>
    </xdr:to>
    <xdr:graphicFrame>
      <xdr:nvGraphicFramePr>
        <xdr:cNvPr id="0" name="Chart 1"/>
        <xdr:cNvGraphicFramePr/>
      </xdr:nvGraphicFramePr>
      <xdr:xfrm>
        <a:off x="14074200" y="57168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176040</xdr:rowOff>
    </xdr:from>
    <xdr:to>
      <xdr:col>20</xdr:col>
      <xdr:colOff>364320</xdr:colOff>
      <xdr:row>23</xdr:row>
      <xdr:rowOff>11160</xdr:rowOff>
    </xdr:to>
    <xdr:graphicFrame>
      <xdr:nvGraphicFramePr>
        <xdr:cNvPr id="1" name="Chart 1"/>
        <xdr:cNvGraphicFramePr/>
      </xdr:nvGraphicFramePr>
      <xdr:xfrm>
        <a:off x="9140040" y="76212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15" hidden="false" customHeight="false" outlineLevel="0" collapsed="false">
      <c r="A6" s="3" t="s">
        <v>4</v>
      </c>
    </row>
    <row r="7" customFormat="false" ht="23.85" hidden="false" customHeight="false" outlineLevel="0" collapsed="false">
      <c r="A7" s="3" t="s">
        <v>5</v>
      </c>
    </row>
    <row r="8" customFormat="false" ht="15" hidden="false" customHeight="false" outlineLevel="0" collapsed="false">
      <c r="A8" s="3" t="s">
        <v>6</v>
      </c>
    </row>
    <row r="9" customFormat="false" ht="23.8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row>
    <row r="13" customFormat="false" ht="15" hidden="false" customHeight="false" outlineLevel="0" collapsed="false">
      <c r="A13" s="4" t="s">
        <v>10</v>
      </c>
    </row>
    <row r="14" customFormat="false" ht="15" hidden="false" customHeight="false" outlineLevel="0" collapsed="false">
      <c r="A14" s="3" t="s">
        <v>11</v>
      </c>
    </row>
    <row r="15" customFormat="false" ht="15" hidden="false" customHeight="false" outlineLevel="0" collapsed="false">
      <c r="A15" s="3" t="s">
        <v>12</v>
      </c>
    </row>
    <row r="16" customFormat="false" ht="23.85" hidden="false" customHeight="false" outlineLevel="0" collapsed="false">
      <c r="A16" s="3" t="s">
        <v>13</v>
      </c>
    </row>
    <row r="17" customFormat="false" ht="15" hidden="false" customHeight="false" outlineLevel="0" collapsed="false">
      <c r="A17" s="3" t="s">
        <v>14</v>
      </c>
    </row>
    <row r="18" customFormat="false" ht="15" hidden="false" customHeight="false" outlineLevel="0" collapsed="false">
      <c r="A18" s="3"/>
    </row>
    <row r="19" customFormat="false" ht="15" hidden="false" customHeight="false" outlineLevel="0" collapsed="false">
      <c r="A19" s="4" t="s">
        <v>15</v>
      </c>
    </row>
    <row r="20" customFormat="false" ht="23.85" hidden="false" customHeight="false" outlineLevel="0" collapsed="false">
      <c r="A20" s="3" t="s">
        <v>16</v>
      </c>
    </row>
    <row r="21" customFormat="false" ht="15" hidden="false" customHeight="false" outlineLevel="0" collapsed="false">
      <c r="A21" s="3" t="s">
        <v>17</v>
      </c>
    </row>
    <row r="22" customFormat="false" ht="15" hidden="false" customHeight="false" outlineLevel="0" collapsed="false">
      <c r="A22" s="3" t="s">
        <v>18</v>
      </c>
    </row>
    <row r="23" customFormat="false" ht="15" hidden="false" customHeight="false" outlineLevel="0" collapsed="false">
      <c r="A23" s="3"/>
    </row>
    <row r="24" customFormat="false" ht="15" hidden="false" customHeight="false" outlineLevel="0" collapsed="false">
      <c r="A24" s="4" t="s">
        <v>19</v>
      </c>
    </row>
    <row r="25" customFormat="false" ht="23.85" hidden="false" customHeight="false" outlineLevel="0" collapsed="false">
      <c r="A25"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15" min="2" style="0" width="13"/>
  </cols>
  <sheetData>
    <row r="1" customFormat="false" ht="16.15" hidden="false" customHeight="false" outlineLevel="0" collapsed="false">
      <c r="A1" s="1" t="s">
        <v>21</v>
      </c>
    </row>
    <row r="2" customFormat="false" ht="15" hidden="false" customHeight="false" outlineLevel="0" collapsed="false">
      <c r="A2" s="2" t="s">
        <v>22</v>
      </c>
    </row>
    <row r="4" customFormat="false" ht="23.85" hidden="false" customHeight="false" outlineLevel="0" collapsed="false">
      <c r="A4" s="5" t="s">
        <v>23</v>
      </c>
      <c r="B4" s="5" t="s">
        <v>24</v>
      </c>
      <c r="C4" s="5" t="s">
        <v>25</v>
      </c>
      <c r="D4" s="5" t="s">
        <v>26</v>
      </c>
      <c r="E4" s="5" t="s">
        <v>27</v>
      </c>
      <c r="F4" s="5" t="s">
        <v>28</v>
      </c>
      <c r="G4" s="5" t="s">
        <v>29</v>
      </c>
      <c r="H4" s="5" t="s">
        <v>30</v>
      </c>
      <c r="I4" s="5" t="s">
        <v>31</v>
      </c>
      <c r="J4" s="5" t="s">
        <v>32</v>
      </c>
      <c r="K4" s="5" t="s">
        <v>33</v>
      </c>
      <c r="L4" s="5" t="s">
        <v>34</v>
      </c>
      <c r="M4" s="5" t="s">
        <v>35</v>
      </c>
      <c r="N4" s="5" t="s">
        <v>36</v>
      </c>
      <c r="O4" s="5" t="s">
        <v>37</v>
      </c>
    </row>
    <row r="5" customFormat="false" ht="15" hidden="false" customHeight="false" outlineLevel="0" collapsed="false">
      <c r="A5" s="6" t="s">
        <v>38</v>
      </c>
      <c r="B5" s="7" t="n">
        <v>92.8</v>
      </c>
      <c r="C5" s="7" t="n">
        <v>92.7</v>
      </c>
      <c r="D5" s="7" t="n">
        <v>92.7</v>
      </c>
      <c r="E5" s="7" t="n">
        <v>90.6</v>
      </c>
      <c r="F5" s="7" t="n">
        <v>93.2</v>
      </c>
      <c r="G5" s="7" t="n">
        <v>94</v>
      </c>
      <c r="H5" s="7" t="n">
        <v>95.1</v>
      </c>
      <c r="I5" s="7" t="n">
        <v>93.5</v>
      </c>
      <c r="J5" s="7" t="n">
        <v>92.5</v>
      </c>
      <c r="K5" s="7" t="n">
        <v>93.2</v>
      </c>
    </row>
    <row r="6" customFormat="false" ht="15" hidden="false" customHeight="false" outlineLevel="0" collapsed="false">
      <c r="A6" s="6" t="s">
        <v>39</v>
      </c>
      <c r="B6" s="7" t="n">
        <v>97</v>
      </c>
      <c r="C6" s="7" t="n">
        <v>96.8</v>
      </c>
      <c r="D6" s="7" t="n">
        <v>96.5</v>
      </c>
      <c r="E6" s="7" t="n">
        <v>95.4</v>
      </c>
      <c r="F6" s="7" t="n">
        <v>97</v>
      </c>
      <c r="G6" s="7" t="n">
        <v>97.7</v>
      </c>
      <c r="H6" s="7" t="n">
        <v>97.2</v>
      </c>
      <c r="I6" s="7" t="n">
        <v>96</v>
      </c>
      <c r="J6" s="7" t="n">
        <v>99.1</v>
      </c>
      <c r="K6" s="7" t="n">
        <v>97.9</v>
      </c>
    </row>
    <row r="7" customFormat="false" ht="15" hidden="false" customHeight="false" outlineLevel="0" collapsed="false">
      <c r="A7" s="6" t="s">
        <v>40</v>
      </c>
      <c r="B7" s="7" t="n">
        <v>103</v>
      </c>
      <c r="C7" s="7" t="n">
        <v>102.6</v>
      </c>
      <c r="D7" s="7" t="n">
        <v>102.5</v>
      </c>
      <c r="E7" s="7" t="n">
        <v>104.8</v>
      </c>
      <c r="F7" s="7" t="n">
        <v>102.2</v>
      </c>
      <c r="G7" s="7" t="n">
        <v>100</v>
      </c>
      <c r="H7" s="7" t="n">
        <v>103.2</v>
      </c>
      <c r="I7" s="7" t="n">
        <v>101.7</v>
      </c>
      <c r="J7" s="7" t="n">
        <v>103.5</v>
      </c>
      <c r="K7" s="7" t="n">
        <v>105.1</v>
      </c>
    </row>
    <row r="8" customFormat="false" ht="15" hidden="false" customHeight="false" outlineLevel="0" collapsed="false">
      <c r="A8" s="6" t="s">
        <v>41</v>
      </c>
      <c r="B8" s="7" t="n">
        <v>107.2</v>
      </c>
      <c r="C8" s="7" t="n">
        <v>107.9</v>
      </c>
      <c r="D8" s="7" t="n">
        <v>108.3</v>
      </c>
      <c r="E8" s="7" t="n">
        <v>109.2</v>
      </c>
      <c r="F8" s="7" t="n">
        <v>107.6</v>
      </c>
      <c r="G8" s="7" t="n">
        <v>108.3</v>
      </c>
      <c r="H8" s="7" t="n">
        <v>104.6</v>
      </c>
      <c r="I8" s="7" t="n">
        <v>108.8</v>
      </c>
      <c r="J8" s="7" t="n">
        <v>104.9</v>
      </c>
      <c r="K8" s="7" t="n">
        <v>103.9</v>
      </c>
    </row>
    <row r="9" customFormat="false" ht="15" hidden="false" customHeight="false" outlineLevel="0" collapsed="false">
      <c r="A9" s="6" t="s">
        <v>42</v>
      </c>
      <c r="B9" s="7" t="n">
        <v>110.4</v>
      </c>
      <c r="C9" s="7" t="n">
        <v>111.7</v>
      </c>
      <c r="D9" s="7" t="n">
        <v>112.1</v>
      </c>
      <c r="E9" s="7" t="n">
        <v>112.9</v>
      </c>
      <c r="F9" s="7" t="n">
        <v>110.9</v>
      </c>
      <c r="G9" s="7" t="n">
        <v>109.3</v>
      </c>
      <c r="H9" s="7" t="n">
        <v>113.9</v>
      </c>
      <c r="I9" s="7" t="n">
        <v>114.8</v>
      </c>
      <c r="J9" s="7" t="n">
        <v>108.3</v>
      </c>
      <c r="K9" s="7" t="n">
        <v>104.6</v>
      </c>
      <c r="L9" s="8" t="n">
        <f aca="false">B9/B5-1</f>
        <v>0.189655172413793</v>
      </c>
      <c r="M9" s="8" t="n">
        <f aca="false">D9/D5-1</f>
        <v>0.209277238403452</v>
      </c>
      <c r="N9" s="8" t="n">
        <f aca="false">E9/E5-1</f>
        <v>0.246136865342163</v>
      </c>
      <c r="O9" s="8" t="n">
        <f aca="false">K9/K5-1</f>
        <v>0.122317596566524</v>
      </c>
    </row>
    <row r="10" customFormat="false" ht="15" hidden="false" customHeight="false" outlineLevel="0" collapsed="false">
      <c r="A10" s="6" t="s">
        <v>43</v>
      </c>
      <c r="B10" s="7" t="n">
        <v>115.1</v>
      </c>
      <c r="C10" s="7" t="n">
        <v>116.6</v>
      </c>
      <c r="D10" s="7" t="n">
        <v>116.9</v>
      </c>
      <c r="E10" s="7" t="n">
        <v>118.4</v>
      </c>
      <c r="F10" s="7" t="n">
        <v>117.7</v>
      </c>
      <c r="G10" s="7" t="n">
        <v>112.8</v>
      </c>
      <c r="H10" s="7" t="n">
        <v>117.7</v>
      </c>
      <c r="I10" s="7" t="n">
        <v>119.6</v>
      </c>
      <c r="J10" s="7" t="n">
        <v>113.8</v>
      </c>
      <c r="K10" s="7" t="n">
        <v>108.2</v>
      </c>
      <c r="L10" s="8" t="n">
        <f aca="false">B10/B6-1</f>
        <v>0.18659793814433</v>
      </c>
      <c r="M10" s="8" t="n">
        <f aca="false">D10/D6-1</f>
        <v>0.21139896373057</v>
      </c>
      <c r="N10" s="8" t="n">
        <f aca="false">E10/E6-1</f>
        <v>0.241090146750524</v>
      </c>
      <c r="O10" s="8" t="n">
        <f aca="false">K10/K6-1</f>
        <v>0.105209397344229</v>
      </c>
    </row>
    <row r="11" customFormat="false" ht="15" hidden="false" customHeight="false" outlineLevel="0" collapsed="false">
      <c r="A11" s="6" t="s">
        <v>44</v>
      </c>
      <c r="B11" s="7" t="n">
        <v>116.5</v>
      </c>
      <c r="C11" s="7" t="n">
        <v>117.7</v>
      </c>
      <c r="D11" s="7" t="n">
        <v>118.3</v>
      </c>
      <c r="E11" s="7" t="n">
        <v>118.5</v>
      </c>
      <c r="F11" s="7" t="n">
        <v>116.8</v>
      </c>
      <c r="G11" s="7" t="n">
        <v>114.8</v>
      </c>
      <c r="H11" s="7" t="n">
        <v>124.6</v>
      </c>
      <c r="I11" s="7" t="n">
        <v>121.2</v>
      </c>
      <c r="J11" s="7" t="n">
        <v>113</v>
      </c>
      <c r="K11" s="7" t="n">
        <v>110.8</v>
      </c>
      <c r="L11" s="8" t="n">
        <f aca="false">B11/B7-1</f>
        <v>0.131067961165048</v>
      </c>
      <c r="M11" s="8" t="n">
        <f aca="false">D11/D7-1</f>
        <v>0.154146341463415</v>
      </c>
      <c r="N11" s="8" t="n">
        <f aca="false">E11/E7-1</f>
        <v>0.130725190839695</v>
      </c>
      <c r="O11" s="8" t="n">
        <f aca="false">K11/K7-1</f>
        <v>0.0542340627973359</v>
      </c>
    </row>
    <row r="12" customFormat="false" ht="15" hidden="false" customHeight="false" outlineLevel="0" collapsed="false">
      <c r="A12" s="6" t="s">
        <v>45</v>
      </c>
      <c r="B12" s="7" t="n">
        <v>118.9</v>
      </c>
      <c r="C12" s="7" t="n">
        <v>120.7</v>
      </c>
      <c r="D12" s="7" t="n">
        <v>120.6</v>
      </c>
      <c r="E12" s="7" t="n">
        <v>117.1</v>
      </c>
      <c r="F12" s="7" t="n">
        <v>124.1</v>
      </c>
      <c r="G12" s="7" t="n">
        <v>119.1</v>
      </c>
      <c r="H12" s="7" t="n">
        <v>122.2</v>
      </c>
      <c r="I12" s="7" t="n">
        <v>127.2</v>
      </c>
      <c r="J12" s="7" t="n">
        <v>120.6</v>
      </c>
      <c r="K12" s="7" t="n">
        <v>110.7</v>
      </c>
      <c r="L12" s="8" t="n">
        <f aca="false">B12/B8-1</f>
        <v>0.109141791044776</v>
      </c>
      <c r="M12" s="8" t="n">
        <f aca="false">D12/D8-1</f>
        <v>0.113573407202216</v>
      </c>
      <c r="N12" s="8" t="n">
        <f aca="false">E12/E8-1</f>
        <v>0.0723443223443223</v>
      </c>
      <c r="O12" s="8" t="n">
        <f aca="false">K12/K8-1</f>
        <v>0.0654475457170356</v>
      </c>
    </row>
    <row r="13" customFormat="false" ht="15" hidden="false" customHeight="false" outlineLevel="0" collapsed="false">
      <c r="A13" s="6" t="s">
        <v>46</v>
      </c>
      <c r="B13" s="7" t="n">
        <v>125.5</v>
      </c>
      <c r="C13" s="7" t="n">
        <v>130</v>
      </c>
      <c r="D13" s="7" t="n">
        <v>130.4</v>
      </c>
      <c r="E13" s="7" t="n">
        <v>127.5</v>
      </c>
      <c r="F13" s="7" t="n">
        <v>130.9</v>
      </c>
      <c r="G13" s="7" t="n">
        <v>131.2</v>
      </c>
      <c r="H13" s="7" t="n">
        <v>136.7</v>
      </c>
      <c r="I13" s="7" t="n">
        <v>130.3</v>
      </c>
      <c r="J13" s="7" t="n">
        <v>127</v>
      </c>
      <c r="K13" s="7" t="n">
        <v>109.5</v>
      </c>
      <c r="L13" s="8" t="n">
        <f aca="false">B13/B9-1</f>
        <v>0.136775362318841</v>
      </c>
      <c r="M13" s="8" t="n">
        <f aca="false">D13/D9-1</f>
        <v>0.163247100802855</v>
      </c>
      <c r="N13" s="8" t="n">
        <f aca="false">E13/E9-1</f>
        <v>0.129317980513729</v>
      </c>
      <c r="O13" s="8" t="n">
        <f aca="false">K13/K9-1</f>
        <v>0.0468451242829828</v>
      </c>
    </row>
    <row r="14" customFormat="false" ht="15" hidden="false" customHeight="false" outlineLevel="0" collapsed="false">
      <c r="A14" s="6" t="s">
        <v>47</v>
      </c>
      <c r="B14" s="7" t="n">
        <v>125.8</v>
      </c>
      <c r="C14" s="7" t="n">
        <v>129.1</v>
      </c>
      <c r="D14" s="7" t="n">
        <v>129.2</v>
      </c>
      <c r="E14" s="7" t="n">
        <v>123.7</v>
      </c>
      <c r="F14" s="7" t="n">
        <v>133.3</v>
      </c>
      <c r="G14" s="7" t="n">
        <v>131.8</v>
      </c>
      <c r="H14" s="7" t="n">
        <v>134.7</v>
      </c>
      <c r="I14" s="7" t="n">
        <v>130.6</v>
      </c>
      <c r="J14" s="7" t="n">
        <v>128.3</v>
      </c>
      <c r="K14" s="7" t="n">
        <v>114</v>
      </c>
      <c r="L14" s="8" t="n">
        <f aca="false">B14/B10-1</f>
        <v>0.0929626411815814</v>
      </c>
      <c r="M14" s="8" t="n">
        <f aca="false">D14/D10-1</f>
        <v>0.105218135158255</v>
      </c>
      <c r="N14" s="8" t="n">
        <f aca="false">E14/E10-1</f>
        <v>0.0447635135135136</v>
      </c>
      <c r="O14" s="8" t="n">
        <f aca="false">K14/K10-1</f>
        <v>0.0536044362292052</v>
      </c>
    </row>
    <row r="15" customFormat="false" ht="15" hidden="false" customHeight="false" outlineLevel="0" collapsed="false">
      <c r="A15" s="6" t="s">
        <v>48</v>
      </c>
      <c r="B15" s="7" t="n">
        <v>129.3</v>
      </c>
      <c r="C15" s="7" t="n">
        <v>132.8</v>
      </c>
      <c r="D15" s="7" t="n">
        <v>132.2</v>
      </c>
      <c r="E15" s="7" t="n">
        <v>128.7</v>
      </c>
      <c r="F15" s="7" t="n">
        <v>133.9</v>
      </c>
      <c r="G15" s="7" t="n">
        <v>132.8</v>
      </c>
      <c r="H15" s="7" t="n">
        <v>135.4</v>
      </c>
      <c r="I15" s="7" t="n">
        <v>134.9</v>
      </c>
      <c r="J15" s="7" t="n">
        <v>136.4</v>
      </c>
      <c r="K15" s="7" t="n">
        <v>117.2</v>
      </c>
      <c r="L15" s="8" t="n">
        <f aca="false">B15/B11-1</f>
        <v>0.109871244635193</v>
      </c>
      <c r="M15" s="8" t="n">
        <f aca="false">D15/D11-1</f>
        <v>0.117497886728656</v>
      </c>
      <c r="N15" s="8" t="n">
        <f aca="false">E15/E11-1</f>
        <v>0.0860759493670886</v>
      </c>
      <c r="O15" s="8" t="n">
        <f aca="false">K15/K11-1</f>
        <v>0.0577617328519857</v>
      </c>
    </row>
    <row r="16" customFormat="false" ht="15" hidden="false" customHeight="false" outlineLevel="0" collapsed="false">
      <c r="A16" s="6" t="s">
        <v>49</v>
      </c>
      <c r="B16" s="7" t="n">
        <v>128</v>
      </c>
      <c r="C16" s="7" t="n">
        <v>131.3</v>
      </c>
      <c r="D16" s="7" t="n">
        <v>129.1</v>
      </c>
      <c r="E16" s="7" t="n">
        <v>122.2</v>
      </c>
      <c r="F16" s="7" t="n">
        <v>142.1</v>
      </c>
      <c r="G16" s="7" t="n">
        <v>129.6</v>
      </c>
      <c r="H16" s="7" t="n">
        <v>140.2</v>
      </c>
      <c r="I16" s="7" t="n">
        <v>127.6</v>
      </c>
      <c r="J16" s="7" t="n">
        <v>146.2</v>
      </c>
      <c r="K16" s="7" t="n">
        <v>116.3</v>
      </c>
      <c r="L16" s="8" t="n">
        <f aca="false">B16/B12-1</f>
        <v>0.0765349032800673</v>
      </c>
      <c r="M16" s="8" t="n">
        <f aca="false">D16/D12-1</f>
        <v>0.070480928689884</v>
      </c>
      <c r="N16" s="8" t="n">
        <f aca="false">E16/E12-1</f>
        <v>0.0435525192143469</v>
      </c>
      <c r="O16" s="8" t="n">
        <f aca="false">K16/K12-1</f>
        <v>0.050587172538392</v>
      </c>
    </row>
    <row r="17" customFormat="false" ht="15" hidden="false" customHeight="false" outlineLevel="0" collapsed="false">
      <c r="A17" s="6" t="s">
        <v>50</v>
      </c>
      <c r="B17" s="7" t="n">
        <v>134.1</v>
      </c>
      <c r="C17" s="7" t="n">
        <v>137.1</v>
      </c>
      <c r="D17" s="7" t="n">
        <v>135.1</v>
      </c>
      <c r="E17" s="7" t="n">
        <v>134.5</v>
      </c>
      <c r="F17" s="7" t="n">
        <v>143.1</v>
      </c>
      <c r="G17" s="7" t="n">
        <v>131</v>
      </c>
      <c r="H17" s="7" t="n">
        <v>143.8</v>
      </c>
      <c r="I17" s="7" t="n">
        <v>138.2</v>
      </c>
      <c r="J17" s="7" t="n">
        <v>150.5</v>
      </c>
      <c r="K17" s="7" t="n">
        <v>125</v>
      </c>
      <c r="L17" s="8" t="n">
        <f aca="false">B17/B13-1</f>
        <v>0.0685258964143425</v>
      </c>
      <c r="M17" s="8" t="n">
        <f aca="false">D17/D13-1</f>
        <v>0.0360429447852759</v>
      </c>
      <c r="N17" s="8" t="n">
        <f aca="false">E17/E13-1</f>
        <v>0.0549019607843138</v>
      </c>
      <c r="O17" s="8" t="n">
        <f aca="false">K17/K13-1</f>
        <v>0.141552511415525</v>
      </c>
    </row>
    <row r="18" customFormat="false" ht="15" hidden="false" customHeight="false" outlineLevel="0" collapsed="false">
      <c r="A18" s="6" t="s">
        <v>51</v>
      </c>
      <c r="B18" s="7" t="n">
        <v>137.9</v>
      </c>
      <c r="C18" s="7" t="n">
        <v>138.5</v>
      </c>
      <c r="D18" s="7" t="n">
        <v>135.4</v>
      </c>
      <c r="E18" s="7" t="n">
        <v>132.2</v>
      </c>
      <c r="F18" s="7" t="n">
        <v>141.3</v>
      </c>
      <c r="G18" s="7" t="n">
        <v>131.5</v>
      </c>
      <c r="H18" s="7" t="n">
        <v>145.7</v>
      </c>
      <c r="I18" s="7" t="n">
        <v>143.5</v>
      </c>
      <c r="J18" s="7" t="n">
        <v>160.4</v>
      </c>
      <c r="K18" s="7" t="n">
        <v>136.3</v>
      </c>
      <c r="L18" s="8" t="n">
        <f aca="false">B18/B14-1</f>
        <v>0.0961844197138315</v>
      </c>
      <c r="M18" s="8" t="n">
        <f aca="false">D18/D14-1</f>
        <v>0.0479876160990713</v>
      </c>
      <c r="N18" s="8" t="n">
        <f aca="false">E18/E14-1</f>
        <v>0.0687146321746159</v>
      </c>
      <c r="O18" s="8" t="n">
        <f aca="false">K18/K14-1</f>
        <v>0.195614035087719</v>
      </c>
    </row>
    <row r="19" customFormat="false" ht="15" hidden="false" customHeight="false" outlineLevel="0" collapsed="false">
      <c r="A19" s="6" t="s">
        <v>52</v>
      </c>
      <c r="B19" s="7" t="n">
        <v>136.9</v>
      </c>
      <c r="C19" s="7" t="n">
        <v>138</v>
      </c>
      <c r="D19" s="7" t="n">
        <v>134.5</v>
      </c>
      <c r="E19" s="7" t="n">
        <v>133.7</v>
      </c>
      <c r="F19" s="7" t="n">
        <v>139.3</v>
      </c>
      <c r="G19" s="7" t="n">
        <v>130.8</v>
      </c>
      <c r="H19" s="7" t="n">
        <v>142.9</v>
      </c>
      <c r="I19" s="7" t="n">
        <v>140.1</v>
      </c>
      <c r="J19" s="7" t="n">
        <v>162.8</v>
      </c>
      <c r="K19" s="7" t="n">
        <v>133.7</v>
      </c>
      <c r="L19" s="8" t="n">
        <f aca="false">B19/B15-1</f>
        <v>0.0587780355761793</v>
      </c>
      <c r="M19" s="8" t="n">
        <f aca="false">D19/D15-1</f>
        <v>0.0173978819969745</v>
      </c>
      <c r="N19" s="8" t="n">
        <f aca="false">E19/E15-1</f>
        <v>0.0388500388500388</v>
      </c>
      <c r="O19" s="8" t="n">
        <f aca="false">K19/K15-1</f>
        <v>0.140784982935154</v>
      </c>
    </row>
    <row r="20" customFormat="false" ht="15" hidden="false" customHeight="false" outlineLevel="0" collapsed="false">
      <c r="A20" s="6" t="s">
        <v>53</v>
      </c>
      <c r="B20" s="7" t="n">
        <v>137.3</v>
      </c>
      <c r="C20" s="7" t="n">
        <v>139.1</v>
      </c>
      <c r="D20" s="7" t="n">
        <v>136</v>
      </c>
      <c r="E20" s="7" t="n">
        <v>139</v>
      </c>
      <c r="F20" s="7" t="n">
        <v>136.9</v>
      </c>
      <c r="G20" s="7" t="n">
        <v>132.8</v>
      </c>
      <c r="H20" s="7" t="n">
        <v>141.2</v>
      </c>
      <c r="I20" s="7" t="n">
        <v>138.5</v>
      </c>
      <c r="J20" s="7" t="n">
        <v>161.3</v>
      </c>
      <c r="K20" s="7" t="n">
        <v>132</v>
      </c>
      <c r="L20" s="8" t="n">
        <f aca="false">B20/B16-1</f>
        <v>0.0726562500000001</v>
      </c>
      <c r="M20" s="8" t="n">
        <f aca="false">D20/D16-1</f>
        <v>0.0534469403563129</v>
      </c>
      <c r="N20" s="8" t="n">
        <f aca="false">E20/E16-1</f>
        <v>0.137479541734861</v>
      </c>
      <c r="O20" s="8" t="n">
        <f aca="false">K20/K16-1</f>
        <v>0.134995700773861</v>
      </c>
    </row>
    <row r="21" customFormat="false" ht="15" hidden="false" customHeight="false" outlineLevel="0" collapsed="false">
      <c r="A21" s="6" t="s">
        <v>54</v>
      </c>
      <c r="B21" s="7" t="n">
        <v>143.3</v>
      </c>
      <c r="C21" s="7" t="n">
        <v>143.9</v>
      </c>
      <c r="D21" s="7" t="n">
        <v>140.3</v>
      </c>
      <c r="E21" s="7" t="n">
        <v>141.4</v>
      </c>
      <c r="F21" s="7" t="n">
        <v>143.8</v>
      </c>
      <c r="G21" s="7" t="n">
        <v>136.3</v>
      </c>
      <c r="H21" s="7" t="n">
        <v>150.1</v>
      </c>
      <c r="I21" s="7" t="n">
        <v>143.6</v>
      </c>
      <c r="J21" s="7" t="n">
        <v>169.3</v>
      </c>
      <c r="K21" s="7" t="n">
        <v>141.5</v>
      </c>
      <c r="L21" s="8" t="n">
        <f aca="false">B21/B17-1</f>
        <v>0.0686055182699479</v>
      </c>
      <c r="M21" s="8" t="n">
        <f aca="false">D21/D17-1</f>
        <v>0.0384900074019245</v>
      </c>
      <c r="N21" s="8" t="n">
        <f aca="false">E21/E17-1</f>
        <v>0.0513011152416358</v>
      </c>
      <c r="O21" s="8" t="n">
        <f aca="false">K21/K17-1</f>
        <v>0.132</v>
      </c>
    </row>
    <row r="22" customFormat="false" ht="15" hidden="false" customHeight="false" outlineLevel="0" collapsed="false">
      <c r="A22" s="6" t="s">
        <v>55</v>
      </c>
      <c r="B22" s="7" t="n">
        <v>146.2</v>
      </c>
      <c r="C22" s="7" t="n">
        <v>148.4</v>
      </c>
      <c r="D22" s="7" t="n">
        <v>144.6</v>
      </c>
      <c r="E22" s="7" t="n">
        <v>144.6</v>
      </c>
      <c r="F22" s="7" t="n">
        <v>147.8</v>
      </c>
      <c r="G22" s="7" t="n">
        <v>142.3</v>
      </c>
      <c r="H22" s="7" t="n">
        <v>154.1</v>
      </c>
      <c r="I22" s="7" t="n">
        <v>146.5</v>
      </c>
      <c r="J22" s="7" t="n">
        <v>175.6</v>
      </c>
      <c r="K22" s="7" t="n">
        <v>139.2</v>
      </c>
      <c r="L22" s="8" t="n">
        <f aca="false">B22/B18-1</f>
        <v>0.0601885424220447</v>
      </c>
      <c r="M22" s="8" t="n">
        <f aca="false">D22/D18-1</f>
        <v>0.0679468242245198</v>
      </c>
      <c r="N22" s="8" t="n">
        <f aca="false">E22/E18-1</f>
        <v>0.0937972768532527</v>
      </c>
      <c r="O22" s="8" t="n">
        <f aca="false">K22/K18-1</f>
        <v>0.0212765957446808</v>
      </c>
    </row>
    <row r="23" customFormat="false" ht="15" hidden="false" customHeight="false" outlineLevel="0" collapsed="false">
      <c r="A23" s="6" t="s">
        <v>56</v>
      </c>
      <c r="B23" s="7" t="n">
        <v>136.1</v>
      </c>
      <c r="C23" s="7" t="n">
        <v>136.8</v>
      </c>
      <c r="D23" s="7" t="n">
        <v>134.4</v>
      </c>
      <c r="E23" s="7" t="n">
        <v>141.1</v>
      </c>
      <c r="F23" s="7" t="n">
        <v>132.2</v>
      </c>
      <c r="G23" s="7" t="n">
        <v>131.8</v>
      </c>
      <c r="H23" s="7" t="n">
        <v>135.6</v>
      </c>
      <c r="I23" s="7" t="n">
        <v>134</v>
      </c>
      <c r="J23" s="7" t="n">
        <v>153.5</v>
      </c>
      <c r="K23" s="7" t="n">
        <v>133.8</v>
      </c>
      <c r="L23" s="8" t="n">
        <f aca="false">B23/B19-1</f>
        <v>-0.00584368151935732</v>
      </c>
      <c r="M23" s="8" t="n">
        <f aca="false">D23/D19-1</f>
        <v>-0.000743494423791735</v>
      </c>
      <c r="N23" s="8" t="n">
        <f aca="false">E23/E19-1</f>
        <v>0.0553477935676889</v>
      </c>
      <c r="O23" s="8" t="n">
        <f aca="false">K23/K19-1</f>
        <v>0.000747943156320208</v>
      </c>
    </row>
    <row r="24" customFormat="false" ht="15" hidden="false" customHeight="false" outlineLevel="0" collapsed="false">
      <c r="A24" s="6" t="s">
        <v>57</v>
      </c>
      <c r="B24" s="7" t="n">
        <v>140</v>
      </c>
      <c r="C24" s="7" t="n">
        <v>139.8</v>
      </c>
      <c r="D24" s="7" t="n">
        <v>136.6</v>
      </c>
      <c r="E24" s="7" t="n">
        <v>141</v>
      </c>
      <c r="F24" s="7" t="n">
        <v>137.6</v>
      </c>
      <c r="G24" s="7" t="n">
        <v>133.4</v>
      </c>
      <c r="H24" s="7" t="n">
        <v>140.3</v>
      </c>
      <c r="I24" s="7" t="n">
        <v>137.8</v>
      </c>
      <c r="J24" s="7" t="n">
        <v>162.8</v>
      </c>
      <c r="K24" s="7" t="n">
        <v>140.6</v>
      </c>
      <c r="L24" s="8" t="n">
        <f aca="false">B24/B20-1</f>
        <v>0.0196649672250546</v>
      </c>
      <c r="M24" s="8" t="n">
        <f aca="false">D24/D20-1</f>
        <v>0.00441176470588234</v>
      </c>
      <c r="N24" s="8" t="n">
        <f aca="false">E24/E20-1</f>
        <v>0.014388489208633</v>
      </c>
      <c r="O24" s="8" t="n">
        <f aca="false">K24/K20-1</f>
        <v>0.0651515151515152</v>
      </c>
    </row>
    <row r="25" customFormat="false" ht="15" hidden="false" customHeight="false" outlineLevel="0" collapsed="false">
      <c r="A25" s="6" t="s">
        <v>58</v>
      </c>
      <c r="B25" s="7" t="n">
        <v>153.5</v>
      </c>
      <c r="C25" s="7" t="n">
        <v>154.5</v>
      </c>
      <c r="D25" s="7" t="n">
        <v>152.2</v>
      </c>
      <c r="E25" s="7" t="n">
        <v>165.5</v>
      </c>
      <c r="F25" s="7" t="n">
        <v>148</v>
      </c>
      <c r="G25" s="7" t="n">
        <v>145.3</v>
      </c>
      <c r="H25" s="7" t="n">
        <v>151.9</v>
      </c>
      <c r="I25" s="7" t="n">
        <v>148.2</v>
      </c>
      <c r="J25" s="7" t="n">
        <v>169.8</v>
      </c>
      <c r="K25" s="7" t="n">
        <v>149.3</v>
      </c>
      <c r="L25" s="8" t="n">
        <f aca="false">B25/B21-1</f>
        <v>0.071179344033496</v>
      </c>
      <c r="M25" s="8" t="n">
        <f aca="false">D25/D21-1</f>
        <v>0.0848182466143976</v>
      </c>
      <c r="N25" s="8" t="n">
        <f aca="false">E25/E21-1</f>
        <v>0.170438472418671</v>
      </c>
      <c r="O25" s="8" t="n">
        <f aca="false">K25/K21-1</f>
        <v>0.0551236749116608</v>
      </c>
    </row>
    <row r="26" customFormat="false" ht="15" hidden="false" customHeight="false" outlineLevel="0" collapsed="false">
      <c r="A26" s="6" t="s">
        <v>59</v>
      </c>
      <c r="B26" s="7" t="n">
        <v>160.2</v>
      </c>
      <c r="C26" s="7" t="n">
        <v>163.5</v>
      </c>
      <c r="D26" s="7" t="n">
        <v>159.9</v>
      </c>
      <c r="E26" s="7" t="n">
        <v>174.1</v>
      </c>
      <c r="F26" s="7" t="n">
        <v>156.6</v>
      </c>
      <c r="G26" s="7" t="n">
        <v>150.6</v>
      </c>
      <c r="H26" s="7" t="n">
        <v>167.8</v>
      </c>
      <c r="I26" s="7" t="n">
        <v>154.1</v>
      </c>
      <c r="J26" s="7" t="n">
        <v>189.8</v>
      </c>
      <c r="K26" s="7" t="n">
        <v>147.1</v>
      </c>
      <c r="L26" s="8" t="n">
        <f aca="false">B26/B22-1</f>
        <v>0.0957592339261286</v>
      </c>
      <c r="M26" s="8" t="n">
        <f aca="false">D26/D22-1</f>
        <v>0.105809128630705</v>
      </c>
      <c r="N26" s="8" t="n">
        <f aca="false">E26/E22-1</f>
        <v>0.204011065006916</v>
      </c>
      <c r="O26" s="8" t="n">
        <f aca="false">K26/K22-1</f>
        <v>0.0567528735632183</v>
      </c>
    </row>
    <row r="27" customFormat="false" ht="15" hidden="false" customHeight="false" outlineLevel="0" collapsed="false">
      <c r="A27" s="6" t="s">
        <v>60</v>
      </c>
      <c r="B27" s="7" t="n">
        <v>164.3</v>
      </c>
      <c r="C27" s="7" t="n">
        <v>166.9</v>
      </c>
      <c r="D27" s="7" t="n">
        <v>163.2</v>
      </c>
      <c r="E27" s="7" t="n">
        <v>184.6</v>
      </c>
      <c r="F27" s="7" t="n">
        <v>163.9</v>
      </c>
      <c r="G27" s="7" t="n">
        <v>146.7</v>
      </c>
      <c r="H27" s="7" t="n">
        <v>173.4</v>
      </c>
      <c r="I27" s="7" t="n">
        <v>153</v>
      </c>
      <c r="J27" s="7" t="n">
        <v>193.9</v>
      </c>
      <c r="K27" s="7" t="n">
        <v>154</v>
      </c>
      <c r="L27" s="8" t="n">
        <f aca="false">B27/B23-1</f>
        <v>0.207200587803086</v>
      </c>
      <c r="M27" s="8" t="n">
        <f aca="false">D27/D23-1</f>
        <v>0.214285714285714</v>
      </c>
      <c r="N27" s="8" t="n">
        <f aca="false">E27/E23-1</f>
        <v>0.308291991495393</v>
      </c>
      <c r="O27" s="8" t="n">
        <f aca="false">K27/K23-1</f>
        <v>0.150971599402093</v>
      </c>
    </row>
    <row r="28" customFormat="false" ht="15" hidden="false" customHeight="false" outlineLevel="0" collapsed="false">
      <c r="A28" s="6" t="s">
        <v>61</v>
      </c>
      <c r="B28" s="7" t="n">
        <v>170.2</v>
      </c>
      <c r="C28" s="7" t="n">
        <v>175.2</v>
      </c>
      <c r="D28" s="7" t="n">
        <v>170.5</v>
      </c>
      <c r="E28" s="7" t="n">
        <v>187.1</v>
      </c>
      <c r="F28" s="7" t="n">
        <v>170.5</v>
      </c>
      <c r="G28" s="7" t="n">
        <v>154.3</v>
      </c>
      <c r="H28" s="7" t="n">
        <v>179</v>
      </c>
      <c r="I28" s="7" t="n">
        <v>173</v>
      </c>
      <c r="J28" s="7" t="n">
        <v>209.9</v>
      </c>
      <c r="K28" s="7" t="n">
        <v>150.5</v>
      </c>
      <c r="L28" s="8" t="n">
        <f aca="false">B28/B24-1</f>
        <v>0.215714285714286</v>
      </c>
      <c r="M28" s="8" t="n">
        <f aca="false">D28/D24-1</f>
        <v>0.248169838945827</v>
      </c>
      <c r="N28" s="8" t="n">
        <f aca="false">E28/E24-1</f>
        <v>0.326950354609929</v>
      </c>
      <c r="O28" s="8" t="n">
        <f aca="false">K28/K24-1</f>
        <v>0.0704125177809389</v>
      </c>
    </row>
    <row r="29" customFormat="false" ht="15" hidden="false" customHeight="false" outlineLevel="0" collapsed="false">
      <c r="A29" s="6" t="s">
        <v>62</v>
      </c>
      <c r="B29" s="7" t="n">
        <v>166.3</v>
      </c>
      <c r="C29" s="7" t="n">
        <v>170.1</v>
      </c>
      <c r="D29" s="7" t="n">
        <v>165.7</v>
      </c>
      <c r="E29" s="7" t="n">
        <v>185.8</v>
      </c>
      <c r="F29" s="7" t="n">
        <v>167.6</v>
      </c>
      <c r="G29" s="7" t="n">
        <v>147.9</v>
      </c>
      <c r="H29" s="7" t="n">
        <v>175.9</v>
      </c>
      <c r="I29" s="7" t="n">
        <v>163.3</v>
      </c>
      <c r="J29" s="7" t="n">
        <v>202.6</v>
      </c>
      <c r="K29" s="7" t="n">
        <v>156</v>
      </c>
      <c r="L29" s="8" t="n">
        <f aca="false">B29/B25-1</f>
        <v>0.0833876221498373</v>
      </c>
      <c r="M29" s="8" t="n">
        <f aca="false">D29/D25-1</f>
        <v>0.0886990801576872</v>
      </c>
      <c r="N29" s="8" t="n">
        <f aca="false">E29/E25-1</f>
        <v>0.122658610271903</v>
      </c>
      <c r="O29" s="8" t="n">
        <f aca="false">K29/K25-1</f>
        <v>0.0448760884125921</v>
      </c>
    </row>
    <row r="30" customFormat="false" ht="15" hidden="false" customHeight="false" outlineLevel="0" collapsed="false">
      <c r="A30" s="6" t="s">
        <v>63</v>
      </c>
      <c r="B30" s="7" t="n">
        <v>168.9</v>
      </c>
      <c r="C30" s="7" t="n">
        <v>169.6</v>
      </c>
      <c r="D30" s="7" t="n">
        <v>160.4</v>
      </c>
      <c r="E30" s="7" t="n">
        <v>177.5</v>
      </c>
      <c r="F30" s="7" t="n">
        <v>167.7</v>
      </c>
      <c r="G30" s="7" t="n">
        <v>147.6</v>
      </c>
      <c r="H30" s="7" t="n">
        <v>158.4</v>
      </c>
      <c r="I30" s="7" t="n">
        <v>154.6</v>
      </c>
      <c r="J30" s="7" t="n">
        <v>233.2</v>
      </c>
      <c r="K30" s="7" t="n">
        <v>166.8</v>
      </c>
      <c r="L30" s="8" t="n">
        <f aca="false">B30/B26-1</f>
        <v>0.0543071161048689</v>
      </c>
      <c r="M30" s="8" t="n">
        <f aca="false">D30/D26-1</f>
        <v>0.00312695434646648</v>
      </c>
      <c r="N30" s="8" t="n">
        <f aca="false">E30/E26-1</f>
        <v>0.0195290063182079</v>
      </c>
      <c r="O30" s="8" t="n">
        <f aca="false">K30/K26-1</f>
        <v>0.133922501699524</v>
      </c>
    </row>
    <row r="31" customFormat="false" ht="15" hidden="false" customHeight="false" outlineLevel="0" collapsed="false">
      <c r="A31" s="6" t="s">
        <v>64</v>
      </c>
      <c r="B31" s="7" t="n">
        <v>168.6</v>
      </c>
      <c r="C31" s="7" t="n">
        <v>170.4</v>
      </c>
      <c r="D31" s="7" t="n">
        <v>162.5</v>
      </c>
      <c r="E31" s="7" t="n">
        <v>180.3</v>
      </c>
      <c r="F31" s="7" t="n">
        <v>174.8</v>
      </c>
      <c r="G31" s="7" t="n">
        <v>145.4</v>
      </c>
      <c r="H31" s="7" t="n">
        <v>160.7</v>
      </c>
      <c r="I31" s="7" t="n">
        <v>160.3</v>
      </c>
      <c r="J31" s="7" t="n">
        <v>225.7</v>
      </c>
      <c r="K31" s="7" t="n">
        <v>163.5</v>
      </c>
      <c r="L31" s="8" t="n">
        <f aca="false">B31/B27-1</f>
        <v>0.0261716372489347</v>
      </c>
      <c r="M31" s="8" t="n">
        <f aca="false">D31/D27-1</f>
        <v>-0.00428921568627449</v>
      </c>
      <c r="N31" s="8" t="n">
        <f aca="false">E31/E27-1</f>
        <v>-0.0232936078006499</v>
      </c>
      <c r="O31" s="8" t="n">
        <f aca="false">K31/K27-1</f>
        <v>0.0616883116883118</v>
      </c>
    </row>
    <row r="32" customFormat="false" ht="15" hidden="false" customHeight="false" outlineLevel="0" collapsed="false">
      <c r="A32" s="6" t="s">
        <v>65</v>
      </c>
      <c r="B32" s="7" t="n">
        <v>165.8</v>
      </c>
      <c r="C32" s="7" t="n">
        <v>169</v>
      </c>
      <c r="D32" s="7" t="n">
        <v>161.9</v>
      </c>
      <c r="E32" s="7" t="n">
        <v>181.4</v>
      </c>
      <c r="F32" s="7" t="n">
        <v>170.6</v>
      </c>
      <c r="G32" s="7" t="n">
        <v>148.4</v>
      </c>
      <c r="H32" s="7" t="n">
        <v>157.7</v>
      </c>
      <c r="I32" s="7" t="n">
        <v>153.5</v>
      </c>
      <c r="J32" s="7" t="n">
        <v>219.1</v>
      </c>
      <c r="K32" s="7" t="n">
        <v>157.1</v>
      </c>
      <c r="L32" s="8" t="n">
        <f aca="false">B32/B28-1</f>
        <v>-0.025851938895417</v>
      </c>
      <c r="M32" s="8" t="n">
        <f aca="false">D32/D28-1</f>
        <v>-0.0504398826979472</v>
      </c>
      <c r="N32" s="8" t="n">
        <f aca="false">E32/E28-1</f>
        <v>-0.0304649919828968</v>
      </c>
      <c r="O32" s="8" t="n">
        <f aca="false">K32/K28-1</f>
        <v>0.0438538205980066</v>
      </c>
    </row>
    <row r="33" customFormat="false" ht="15" hidden="false" customHeight="false" outlineLevel="0" collapsed="false">
      <c r="A33" s="6" t="s">
        <v>66</v>
      </c>
      <c r="B33" s="7" t="n">
        <v>170.5</v>
      </c>
      <c r="C33" s="7" t="n">
        <v>169.5</v>
      </c>
      <c r="D33" s="7" t="n">
        <v>162.1</v>
      </c>
      <c r="E33" s="7" t="n">
        <v>176.9</v>
      </c>
      <c r="F33" s="7" t="n">
        <v>174.4</v>
      </c>
      <c r="G33" s="7" t="n">
        <v>147.6</v>
      </c>
      <c r="H33" s="7" t="n">
        <v>166.7</v>
      </c>
      <c r="I33" s="7" t="n">
        <v>153.5</v>
      </c>
      <c r="J33" s="7" t="n">
        <v>222</v>
      </c>
      <c r="K33" s="7" t="n">
        <v>174.2</v>
      </c>
      <c r="L33" s="8" t="n">
        <f aca="false">B33/B29-1</f>
        <v>0.025255562236921</v>
      </c>
      <c r="M33" s="8" t="n">
        <f aca="false">D33/D29-1</f>
        <v>-0.0217260108630054</v>
      </c>
      <c r="N33" s="8" t="n">
        <f aca="false">E33/E29-1</f>
        <v>-0.0479009687836384</v>
      </c>
      <c r="O33" s="8" t="n">
        <f aca="false">K33/K29-1</f>
        <v>0.116666666666667</v>
      </c>
    </row>
    <row r="34" customFormat="false" ht="15" hidden="false" customHeight="false" outlineLevel="0" collapsed="false">
      <c r="A34" s="6" t="s">
        <v>67</v>
      </c>
      <c r="B34" s="7" t="n">
        <v>174.5</v>
      </c>
      <c r="C34" s="7" t="n">
        <v>171.3</v>
      </c>
      <c r="D34" s="7" t="n">
        <v>162.5</v>
      </c>
      <c r="E34" s="7" t="n">
        <v>167.4</v>
      </c>
      <c r="F34" s="7" t="n">
        <v>175.3</v>
      </c>
      <c r="G34" s="7" t="n">
        <v>145.8</v>
      </c>
      <c r="H34" s="7" t="n">
        <v>173.8</v>
      </c>
      <c r="I34" s="7" t="n">
        <v>162.9</v>
      </c>
      <c r="J34" s="7" t="n">
        <v>235.3</v>
      </c>
      <c r="K34" s="7" t="n">
        <v>187.3</v>
      </c>
      <c r="L34" s="8" t="n">
        <f aca="false">B34/B30-1</f>
        <v>0.0331557134399052</v>
      </c>
      <c r="M34" s="8" t="n">
        <f aca="false">D34/D30-1</f>
        <v>0.0130922693266833</v>
      </c>
      <c r="N34" s="8" t="n">
        <f aca="false">E34/E30-1</f>
        <v>-0.0569014084507042</v>
      </c>
      <c r="O34" s="8" t="n">
        <f aca="false">K34/K30-1</f>
        <v>0.122901678657074</v>
      </c>
    </row>
    <row r="35" customFormat="false" ht="15" hidden="false" customHeight="false" outlineLevel="0" collapsed="false">
      <c r="A35" s="6" t="s">
        <v>68</v>
      </c>
      <c r="B35" s="7" t="n">
        <v>177.9</v>
      </c>
      <c r="C35" s="7" t="n">
        <v>173.8</v>
      </c>
      <c r="D35" s="7" t="n">
        <v>163.5</v>
      </c>
      <c r="E35" s="7" t="n">
        <v>171.9</v>
      </c>
      <c r="F35" s="7" t="n">
        <v>172.4</v>
      </c>
      <c r="G35" s="7" t="n">
        <v>149</v>
      </c>
      <c r="H35" s="7" t="n">
        <v>175.8</v>
      </c>
      <c r="I35" s="7" t="n">
        <v>158.6</v>
      </c>
      <c r="J35" s="7" t="n">
        <v>250.4</v>
      </c>
      <c r="K35" s="7" t="n">
        <v>194</v>
      </c>
      <c r="L35" s="8" t="n">
        <f aca="false">B35/B31-1</f>
        <v>0.0551601423487544</v>
      </c>
      <c r="M35" s="8" t="n">
        <f aca="false">D35/D31-1</f>
        <v>0.00615384615384618</v>
      </c>
      <c r="N35" s="8" t="n">
        <f aca="false">E35/E31-1</f>
        <v>-0.0465890183028287</v>
      </c>
      <c r="O35" s="8" t="n">
        <f aca="false">K35/K31-1</f>
        <v>0.186544342507645</v>
      </c>
    </row>
    <row r="36" customFormat="false" ht="15" hidden="false" customHeight="false" outlineLevel="0" collapsed="false">
      <c r="A36" s="6" t="s">
        <v>69</v>
      </c>
      <c r="B36" s="7" t="n">
        <v>186</v>
      </c>
      <c r="C36" s="7" t="n">
        <v>182.5</v>
      </c>
      <c r="D36" s="7" t="n">
        <v>172.6</v>
      </c>
      <c r="E36" s="7" t="n">
        <v>192.8</v>
      </c>
      <c r="F36" s="7" t="n">
        <v>172.4</v>
      </c>
      <c r="G36" s="7" t="n">
        <v>158.8</v>
      </c>
      <c r="H36" s="7" t="n">
        <v>176.6</v>
      </c>
      <c r="I36" s="7" t="n">
        <v>163.5</v>
      </c>
      <c r="J36" s="7" t="n">
        <v>255.2</v>
      </c>
      <c r="K36" s="7" t="n">
        <v>199.8</v>
      </c>
      <c r="L36" s="8" t="n">
        <f aca="false">B36/B32-1</f>
        <v>0.12183353437877</v>
      </c>
      <c r="M36" s="8" t="n">
        <f aca="false">D36/D32-1</f>
        <v>0.0660901791229154</v>
      </c>
      <c r="N36" s="8" t="n">
        <f aca="false">E36/E32-1</f>
        <v>0.0628445424476296</v>
      </c>
      <c r="O36" s="8" t="n">
        <f aca="false">K36/K32-1</f>
        <v>0.271801400381922</v>
      </c>
    </row>
    <row r="37" customFormat="false" ht="15" hidden="false" customHeight="false" outlineLevel="0" collapsed="false">
      <c r="A37" s="6" t="s">
        <v>70</v>
      </c>
      <c r="B37" s="7" t="n">
        <v>185.8</v>
      </c>
      <c r="C37" s="7" t="n">
        <v>183</v>
      </c>
      <c r="D37" s="7" t="n">
        <v>172.1</v>
      </c>
      <c r="E37" s="7" t="n">
        <v>194.2</v>
      </c>
      <c r="F37" s="7" t="n">
        <v>179.5</v>
      </c>
      <c r="G37" s="7" t="n">
        <v>154.1</v>
      </c>
      <c r="H37" s="7" t="n">
        <v>187.5</v>
      </c>
      <c r="I37" s="7" t="n">
        <v>162.1</v>
      </c>
      <c r="J37" s="7" t="n">
        <v>263.6</v>
      </c>
      <c r="K37" s="7" t="n">
        <v>200.8</v>
      </c>
      <c r="L37" s="8" t="n">
        <f aca="false">B37/B33-1</f>
        <v>0.0897360703812318</v>
      </c>
      <c r="M37" s="8" t="n">
        <f aca="false">D37/D33-1</f>
        <v>0.0616903146206045</v>
      </c>
      <c r="N37" s="8" t="n">
        <f aca="false">E37/E33-1</f>
        <v>0.0977953646127754</v>
      </c>
      <c r="O37" s="8" t="n">
        <f aca="false">K37/K33-1</f>
        <v>0.152698048220436</v>
      </c>
    </row>
    <row r="38" customFormat="false" ht="15" hidden="false" customHeight="false" outlineLevel="0" collapsed="false">
      <c r="A38" s="6" t="s">
        <v>71</v>
      </c>
      <c r="B38" s="7" t="n">
        <v>195.5</v>
      </c>
      <c r="C38" s="7" t="n">
        <v>191.8</v>
      </c>
      <c r="D38" s="7" t="n">
        <v>180.5</v>
      </c>
      <c r="E38" s="7" t="n">
        <v>207.5</v>
      </c>
      <c r="F38" s="7" t="n">
        <v>178.5</v>
      </c>
      <c r="G38" s="7" t="n">
        <v>162.3</v>
      </c>
      <c r="H38" s="7" t="n">
        <v>197.2</v>
      </c>
      <c r="I38" s="7" t="n">
        <v>170.9</v>
      </c>
      <c r="J38" s="7" t="n">
        <v>275.1</v>
      </c>
      <c r="K38" s="7" t="n">
        <v>215.4</v>
      </c>
      <c r="L38" s="8" t="n">
        <f aca="false">B38/B34-1</f>
        <v>0.120343839541547</v>
      </c>
      <c r="M38" s="8" t="n">
        <f aca="false">D38/D34-1</f>
        <v>0.110769230769231</v>
      </c>
      <c r="N38" s="8" t="n">
        <f aca="false">E38/E34-1</f>
        <v>0.239545997610514</v>
      </c>
      <c r="O38" s="8" t="n">
        <f aca="false">K38/K34-1</f>
        <v>0.150026695141484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19" min="2" style="0" width="14"/>
  </cols>
  <sheetData>
    <row r="1" customFormat="false" ht="16.15" hidden="false" customHeight="false" outlineLevel="0" collapsed="false">
      <c r="A1" s="1" t="s">
        <v>72</v>
      </c>
    </row>
    <row r="2" customFormat="false" ht="15" hidden="false" customHeight="false" outlineLevel="0" collapsed="false">
      <c r="A2" s="2" t="s">
        <v>73</v>
      </c>
    </row>
    <row r="4" customFormat="false" ht="42" hidden="false" customHeight="true" outlineLevel="0" collapsed="false">
      <c r="A4" s="5" t="s">
        <v>23</v>
      </c>
      <c r="B4" s="5" t="s">
        <v>74</v>
      </c>
      <c r="C4" s="5" t="s">
        <v>75</v>
      </c>
      <c r="D4" s="5" t="s">
        <v>76</v>
      </c>
      <c r="E4" s="5" t="s">
        <v>77</v>
      </c>
      <c r="F4" s="5" t="s">
        <v>78</v>
      </c>
      <c r="G4" s="5" t="s">
        <v>79</v>
      </c>
      <c r="H4" s="5" t="s">
        <v>80</v>
      </c>
      <c r="I4" s="5" t="s">
        <v>81</v>
      </c>
      <c r="J4" s="5" t="s">
        <v>82</v>
      </c>
      <c r="K4" s="5" t="s">
        <v>83</v>
      </c>
      <c r="L4" s="5" t="s">
        <v>84</v>
      </c>
      <c r="M4" s="5" t="s">
        <v>85</v>
      </c>
      <c r="N4" s="5" t="s">
        <v>86</v>
      </c>
      <c r="O4" s="5" t="s">
        <v>87</v>
      </c>
      <c r="P4" s="5" t="s">
        <v>88</v>
      </c>
      <c r="Q4" s="5" t="s">
        <v>89</v>
      </c>
      <c r="R4" s="5" t="s">
        <v>90</v>
      </c>
      <c r="S4" s="5" t="s">
        <v>91</v>
      </c>
    </row>
    <row r="5" customFormat="false" ht="15" hidden="false" customHeight="false" outlineLevel="0" collapsed="false">
      <c r="A5" s="6" t="s">
        <v>38</v>
      </c>
      <c r="B5" s="9" t="n">
        <v>4437</v>
      </c>
      <c r="C5" s="9" t="n">
        <v>3423</v>
      </c>
      <c r="D5" s="9" t="n">
        <v>456</v>
      </c>
      <c r="E5" s="9" t="n">
        <v>348</v>
      </c>
      <c r="F5" s="9" t="n">
        <v>679</v>
      </c>
      <c r="G5" s="9" t="n">
        <v>336</v>
      </c>
      <c r="H5" s="9" t="n">
        <v>482</v>
      </c>
      <c r="I5" s="9" t="n">
        <v>1122</v>
      </c>
      <c r="J5" s="9" t="n">
        <v>1014</v>
      </c>
      <c r="K5" s="10" t="n">
        <v>71.7</v>
      </c>
      <c r="L5" s="10" t="n">
        <v>58.9</v>
      </c>
      <c r="M5" s="10" t="n">
        <v>12.9</v>
      </c>
      <c r="N5" s="10" t="n">
        <v>18.3</v>
      </c>
      <c r="O5" s="10" t="n">
        <v>5.5</v>
      </c>
      <c r="P5" s="10" t="n">
        <v>16.2</v>
      </c>
      <c r="Q5" s="10" t="n">
        <v>4.6</v>
      </c>
      <c r="R5" s="10" t="n">
        <v>8.2</v>
      </c>
      <c r="S5" s="10" t="n">
        <v>6</v>
      </c>
    </row>
    <row r="6" customFormat="false" ht="15" hidden="false" customHeight="false" outlineLevel="0" collapsed="false">
      <c r="A6" s="6" t="s">
        <v>39</v>
      </c>
      <c r="B6" s="9" t="n">
        <v>5092</v>
      </c>
      <c r="C6" s="9" t="n">
        <v>3981</v>
      </c>
      <c r="D6" s="9" t="n">
        <v>539</v>
      </c>
      <c r="E6" s="9" t="n">
        <v>448</v>
      </c>
      <c r="F6" s="9" t="n">
        <v>820</v>
      </c>
      <c r="G6" s="9" t="n">
        <v>397</v>
      </c>
      <c r="H6" s="9" t="n">
        <v>602</v>
      </c>
      <c r="I6" s="9" t="n">
        <v>1175</v>
      </c>
      <c r="J6" s="9" t="n">
        <v>1111</v>
      </c>
      <c r="K6" s="10" t="n">
        <v>87.9</v>
      </c>
      <c r="L6" s="10" t="n">
        <v>72.4</v>
      </c>
      <c r="M6" s="10" t="n">
        <v>15.4</v>
      </c>
      <c r="N6" s="10" t="n">
        <v>23.7</v>
      </c>
      <c r="O6" s="10" t="n">
        <v>7.4</v>
      </c>
      <c r="P6" s="10" t="n">
        <v>19.1</v>
      </c>
      <c r="Q6" s="10" t="n">
        <v>5.4</v>
      </c>
      <c r="R6" s="10" t="n">
        <v>10.2</v>
      </c>
      <c r="S6" s="10" t="n">
        <v>6.7</v>
      </c>
    </row>
    <row r="7" customFormat="false" ht="15" hidden="false" customHeight="false" outlineLevel="0" collapsed="false">
      <c r="A7" s="6" t="s">
        <v>40</v>
      </c>
      <c r="B7" s="9" t="n">
        <v>5996</v>
      </c>
      <c r="C7" s="9" t="n">
        <v>4590</v>
      </c>
      <c r="D7" s="9" t="n">
        <v>588</v>
      </c>
      <c r="E7" s="9" t="n">
        <v>546</v>
      </c>
      <c r="F7" s="9" t="n">
        <v>807</v>
      </c>
      <c r="G7" s="9" t="n">
        <v>455</v>
      </c>
      <c r="H7" s="9" t="n">
        <v>685</v>
      </c>
      <c r="I7" s="9" t="n">
        <v>1509</v>
      </c>
      <c r="J7" s="9" t="n">
        <v>1406</v>
      </c>
      <c r="K7" s="10" t="n">
        <v>102.7</v>
      </c>
      <c r="L7" s="10" t="n">
        <v>83.2</v>
      </c>
      <c r="M7" s="10" t="n">
        <v>19.6</v>
      </c>
      <c r="N7" s="10" t="n">
        <v>25.9</v>
      </c>
      <c r="O7" s="10" t="n">
        <v>9.3</v>
      </c>
      <c r="P7" s="10" t="n">
        <v>20.1</v>
      </c>
      <c r="Q7" s="10" t="n">
        <v>6.8</v>
      </c>
      <c r="R7" s="10" t="n">
        <v>12</v>
      </c>
      <c r="S7" s="10" t="n">
        <v>9</v>
      </c>
    </row>
    <row r="8" customFormat="false" ht="15" hidden="false" customHeight="false" outlineLevel="0" collapsed="false">
      <c r="A8" s="6" t="s">
        <v>41</v>
      </c>
      <c r="B8" s="9" t="n">
        <v>6208</v>
      </c>
      <c r="C8" s="9" t="n">
        <v>4624</v>
      </c>
      <c r="D8" s="9" t="n">
        <v>563</v>
      </c>
      <c r="E8" s="9" t="n">
        <v>732</v>
      </c>
      <c r="F8" s="9" t="n">
        <v>717</v>
      </c>
      <c r="G8" s="9" t="n">
        <v>473</v>
      </c>
      <c r="H8" s="9" t="n">
        <v>677</v>
      </c>
      <c r="I8" s="9" t="n">
        <v>1462</v>
      </c>
      <c r="J8" s="9" t="n">
        <v>1584</v>
      </c>
      <c r="K8" s="10" t="n">
        <v>112.8</v>
      </c>
      <c r="L8" s="10" t="n">
        <v>90.9</v>
      </c>
      <c r="M8" s="10" t="n">
        <v>21.9</v>
      </c>
      <c r="N8" s="10" t="n">
        <v>26.8</v>
      </c>
      <c r="O8" s="10" t="n">
        <v>14.8</v>
      </c>
      <c r="P8" s="10" t="n">
        <v>19.1</v>
      </c>
      <c r="Q8" s="10" t="n">
        <v>7.9</v>
      </c>
      <c r="R8" s="10" t="n">
        <v>13.2</v>
      </c>
      <c r="S8" s="10" t="n">
        <v>9</v>
      </c>
    </row>
    <row r="9" customFormat="false" ht="15" hidden="false" customHeight="false" outlineLevel="0" collapsed="false">
      <c r="A9" s="6" t="s">
        <v>42</v>
      </c>
      <c r="B9" s="9" t="n">
        <v>4712</v>
      </c>
      <c r="C9" s="9" t="n">
        <v>3441</v>
      </c>
      <c r="D9" s="9" t="n">
        <v>439</v>
      </c>
      <c r="E9" s="9" t="n">
        <v>349</v>
      </c>
      <c r="F9" s="9" t="n">
        <v>657</v>
      </c>
      <c r="G9" s="9" t="n">
        <v>337</v>
      </c>
      <c r="H9" s="9" t="n">
        <v>463</v>
      </c>
      <c r="I9" s="9" t="n">
        <v>1196</v>
      </c>
      <c r="J9" s="9" t="n">
        <v>1271</v>
      </c>
      <c r="K9" s="10" t="n">
        <v>86.4</v>
      </c>
      <c r="L9" s="10" t="n">
        <v>68.7</v>
      </c>
      <c r="M9" s="10" t="n">
        <v>17.7</v>
      </c>
      <c r="N9" s="10" t="n">
        <v>22.4</v>
      </c>
      <c r="O9" s="10" t="n">
        <v>6.6</v>
      </c>
      <c r="P9" s="10" t="n">
        <v>17.2</v>
      </c>
      <c r="Q9" s="10" t="n">
        <v>5.4</v>
      </c>
      <c r="R9" s="10" t="n">
        <v>9.6</v>
      </c>
      <c r="S9" s="10" t="n">
        <v>7.5</v>
      </c>
    </row>
    <row r="10" customFormat="false" ht="15" hidden="false" customHeight="false" outlineLevel="0" collapsed="false">
      <c r="A10" s="6" t="s">
        <v>43</v>
      </c>
      <c r="B10" s="9" t="n">
        <v>4688</v>
      </c>
      <c r="C10" s="9" t="n">
        <v>3120</v>
      </c>
      <c r="D10" s="9" t="n">
        <v>293</v>
      </c>
      <c r="E10" s="9" t="n">
        <v>299</v>
      </c>
      <c r="F10" s="9" t="n">
        <v>582</v>
      </c>
      <c r="G10" s="9" t="n">
        <v>272</v>
      </c>
      <c r="H10" s="9" t="n">
        <v>362</v>
      </c>
      <c r="I10" s="9" t="n">
        <v>1312</v>
      </c>
      <c r="J10" s="9" t="n">
        <v>1568</v>
      </c>
      <c r="K10" s="10" t="n">
        <v>82.2</v>
      </c>
      <c r="L10" s="10" t="n">
        <v>57.6</v>
      </c>
      <c r="M10" s="10" t="n">
        <v>24.6</v>
      </c>
      <c r="N10" s="10" t="n">
        <v>14.7</v>
      </c>
      <c r="O10" s="10" t="n">
        <v>5.8</v>
      </c>
      <c r="P10" s="10" t="n">
        <v>16.3</v>
      </c>
      <c r="Q10" s="10" t="n">
        <v>4.3</v>
      </c>
      <c r="R10" s="10" t="n">
        <v>7.4</v>
      </c>
      <c r="S10" s="10" t="n">
        <v>9</v>
      </c>
    </row>
    <row r="11" customFormat="false" ht="15" hidden="false" customHeight="false" outlineLevel="0" collapsed="false">
      <c r="A11" s="6" t="s">
        <v>44</v>
      </c>
      <c r="B11" s="9" t="n">
        <v>6032</v>
      </c>
      <c r="C11" s="9" t="n">
        <v>4326</v>
      </c>
      <c r="D11" s="9" t="n">
        <v>537</v>
      </c>
      <c r="E11" s="9" t="n">
        <v>528</v>
      </c>
      <c r="F11" s="9" t="n">
        <v>713</v>
      </c>
      <c r="G11" s="9" t="n">
        <v>413</v>
      </c>
      <c r="H11" s="9" t="n">
        <v>562</v>
      </c>
      <c r="I11" s="9" t="n">
        <v>1573</v>
      </c>
      <c r="J11" s="9" t="n">
        <v>1706</v>
      </c>
      <c r="K11" s="10" t="n">
        <v>116.6</v>
      </c>
      <c r="L11" s="10" t="n">
        <v>88.1</v>
      </c>
      <c r="M11" s="10" t="n">
        <v>28.5</v>
      </c>
      <c r="N11" s="10" t="n">
        <v>29</v>
      </c>
      <c r="O11" s="10" t="n">
        <v>10.2</v>
      </c>
      <c r="P11" s="10" t="n">
        <v>19.6</v>
      </c>
      <c r="Q11" s="10" t="n">
        <v>6.9</v>
      </c>
      <c r="R11" s="10" t="n">
        <v>11.8</v>
      </c>
      <c r="S11" s="10" t="n">
        <v>10.6</v>
      </c>
    </row>
    <row r="12" customFormat="false" ht="15" hidden="false" customHeight="false" outlineLevel="0" collapsed="false">
      <c r="A12" s="6" t="s">
        <v>45</v>
      </c>
      <c r="B12" s="9" t="n">
        <v>6835</v>
      </c>
      <c r="C12" s="9" t="n">
        <v>4949</v>
      </c>
      <c r="D12" s="9" t="n">
        <v>769</v>
      </c>
      <c r="E12" s="9" t="n">
        <v>612</v>
      </c>
      <c r="F12" s="9" t="n">
        <v>874</v>
      </c>
      <c r="G12" s="9" t="n">
        <v>407</v>
      </c>
      <c r="H12" s="9" t="n">
        <v>567</v>
      </c>
      <c r="I12" s="9" t="n">
        <v>1720</v>
      </c>
      <c r="J12" s="9" t="n">
        <v>1886</v>
      </c>
      <c r="K12" s="10" t="n">
        <v>141.5</v>
      </c>
      <c r="L12" s="10" t="n">
        <v>109.1</v>
      </c>
      <c r="M12" s="10" t="n">
        <v>32.3</v>
      </c>
      <c r="N12" s="10" t="n">
        <v>39.1</v>
      </c>
      <c r="O12" s="10" t="n">
        <v>13.1</v>
      </c>
      <c r="P12" s="10" t="n">
        <v>25.2</v>
      </c>
      <c r="Q12" s="10" t="n">
        <v>6.9</v>
      </c>
      <c r="R12" s="10" t="n">
        <v>12.3</v>
      </c>
      <c r="S12" s="10" t="n">
        <v>12.5</v>
      </c>
    </row>
    <row r="13" customFormat="false" ht="15" hidden="false" customHeight="false" outlineLevel="0" collapsed="false">
      <c r="A13" s="6" t="s">
        <v>46</v>
      </c>
      <c r="B13" s="9" t="n">
        <v>4792</v>
      </c>
      <c r="C13" s="9" t="n">
        <v>3322</v>
      </c>
      <c r="D13" s="9" t="n">
        <v>490</v>
      </c>
      <c r="E13" s="9" t="n">
        <v>379</v>
      </c>
      <c r="F13" s="9" t="n">
        <v>671</v>
      </c>
      <c r="G13" s="9" t="n">
        <v>306</v>
      </c>
      <c r="H13" s="9" t="n">
        <v>356</v>
      </c>
      <c r="I13" s="9" t="n">
        <v>1120</v>
      </c>
      <c r="J13" s="9" t="n">
        <v>1470</v>
      </c>
      <c r="K13" s="10" t="n">
        <v>98.1</v>
      </c>
      <c r="L13" s="10" t="n">
        <v>74.9</v>
      </c>
      <c r="M13" s="10" t="n">
        <v>23.2</v>
      </c>
      <c r="N13" s="10" t="n">
        <v>22.9</v>
      </c>
      <c r="O13" s="10" t="n">
        <v>8.6</v>
      </c>
      <c r="P13" s="10" t="n">
        <v>21.1</v>
      </c>
      <c r="Q13" s="10" t="n">
        <v>5.9</v>
      </c>
      <c r="R13" s="10" t="n">
        <v>8</v>
      </c>
      <c r="S13" s="10" t="n">
        <v>8.3</v>
      </c>
    </row>
    <row r="14" customFormat="false" ht="15" hidden="false" customHeight="false" outlineLevel="0" collapsed="false">
      <c r="A14" s="6" t="s">
        <v>47</v>
      </c>
      <c r="B14" s="9" t="n">
        <v>2388</v>
      </c>
      <c r="C14" s="9" t="n">
        <v>1544</v>
      </c>
      <c r="D14" s="9" t="n">
        <v>154</v>
      </c>
      <c r="E14" s="9" t="n">
        <v>150</v>
      </c>
      <c r="F14" s="9" t="n">
        <v>281</v>
      </c>
      <c r="G14" s="9" t="n">
        <v>144</v>
      </c>
      <c r="H14" s="9" t="n">
        <v>177</v>
      </c>
      <c r="I14" s="9" t="n">
        <v>638</v>
      </c>
      <c r="J14" s="9" t="n">
        <v>844</v>
      </c>
      <c r="K14" s="10" t="n">
        <v>43.4</v>
      </c>
      <c r="L14" s="10" t="n">
        <v>32.1</v>
      </c>
      <c r="M14" s="10" t="n">
        <v>11.3</v>
      </c>
      <c r="N14" s="10" t="n">
        <v>8.4</v>
      </c>
      <c r="O14" s="10" t="n">
        <v>3.2</v>
      </c>
      <c r="P14" s="10" t="n">
        <v>9.3</v>
      </c>
      <c r="Q14" s="10" t="n">
        <v>2.7</v>
      </c>
      <c r="R14" s="10" t="n">
        <v>3.9</v>
      </c>
      <c r="S14" s="10" t="n">
        <v>4.6</v>
      </c>
    </row>
    <row r="15" customFormat="false" ht="15" hidden="false" customHeight="false" outlineLevel="0" collapsed="false">
      <c r="A15" s="6" t="s">
        <v>48</v>
      </c>
      <c r="B15" s="9" t="n">
        <v>5632</v>
      </c>
      <c r="C15" s="9" t="n">
        <v>3551</v>
      </c>
      <c r="D15" s="9" t="n">
        <v>312</v>
      </c>
      <c r="E15" s="9" t="n">
        <v>353</v>
      </c>
      <c r="F15" s="9" t="n">
        <v>793</v>
      </c>
      <c r="G15" s="9" t="n">
        <v>326</v>
      </c>
      <c r="H15" s="9" t="n">
        <v>600</v>
      </c>
      <c r="I15" s="9" t="n">
        <v>1167</v>
      </c>
      <c r="J15" s="9" t="n">
        <v>2081</v>
      </c>
      <c r="K15" s="10" t="n">
        <v>107.3</v>
      </c>
      <c r="L15" s="10" t="n">
        <v>76.6</v>
      </c>
      <c r="M15" s="10" t="n">
        <v>30.7</v>
      </c>
      <c r="N15" s="10" t="n">
        <v>14.8</v>
      </c>
      <c r="O15" s="10" t="n">
        <v>8</v>
      </c>
      <c r="P15" s="10" t="n">
        <v>25.8</v>
      </c>
      <c r="Q15" s="10" t="n">
        <v>6.2</v>
      </c>
      <c r="R15" s="10" t="n">
        <v>12.8</v>
      </c>
      <c r="S15" s="10" t="n">
        <v>8.9</v>
      </c>
    </row>
    <row r="16" customFormat="false" ht="15" hidden="false" customHeight="false" outlineLevel="0" collapsed="false">
      <c r="A16" s="6" t="s">
        <v>49</v>
      </c>
      <c r="B16" s="9" t="n">
        <v>4258</v>
      </c>
      <c r="C16" s="9" t="n">
        <v>2862</v>
      </c>
      <c r="D16" s="9" t="n">
        <v>195</v>
      </c>
      <c r="E16" s="9" t="n">
        <v>290</v>
      </c>
      <c r="F16" s="9" t="n">
        <v>776</v>
      </c>
      <c r="G16" s="9" t="n">
        <v>385</v>
      </c>
      <c r="H16" s="9" t="n">
        <v>344</v>
      </c>
      <c r="I16" s="9" t="n">
        <v>872</v>
      </c>
      <c r="J16" s="9" t="n">
        <v>1396</v>
      </c>
      <c r="K16" s="10" t="n">
        <v>83.8</v>
      </c>
      <c r="L16" s="10" t="n">
        <v>62.8</v>
      </c>
      <c r="M16" s="10" t="n">
        <v>21</v>
      </c>
      <c r="N16" s="10" t="n">
        <v>9</v>
      </c>
      <c r="O16" s="10" t="n">
        <v>7.2</v>
      </c>
      <c r="P16" s="10" t="n">
        <v>24</v>
      </c>
      <c r="Q16" s="10" t="n">
        <v>8</v>
      </c>
      <c r="R16" s="10" t="n">
        <v>7.3</v>
      </c>
      <c r="S16" s="10" t="n">
        <v>7.3</v>
      </c>
    </row>
    <row r="17" customFormat="false" ht="15" hidden="false" customHeight="false" outlineLevel="0" collapsed="false">
      <c r="A17" s="6" t="s">
        <v>50</v>
      </c>
      <c r="B17" s="9" t="n">
        <v>4171</v>
      </c>
      <c r="C17" s="9" t="n">
        <v>2943</v>
      </c>
      <c r="D17" s="9" t="n">
        <v>207</v>
      </c>
      <c r="E17" s="9" t="n">
        <v>262</v>
      </c>
      <c r="F17" s="9" t="n">
        <v>664</v>
      </c>
      <c r="G17" s="9" t="n">
        <v>375</v>
      </c>
      <c r="H17" s="9" t="n">
        <v>371</v>
      </c>
      <c r="I17" s="9" t="n">
        <v>1064</v>
      </c>
      <c r="J17" s="9" t="n">
        <v>1228</v>
      </c>
      <c r="K17" s="10" t="n">
        <v>84.1</v>
      </c>
      <c r="L17" s="10" t="n">
        <v>64.8</v>
      </c>
      <c r="M17" s="10" t="n">
        <v>19.4</v>
      </c>
      <c r="N17" s="10" t="n">
        <v>11.3</v>
      </c>
      <c r="O17" s="10" t="n">
        <v>6.3</v>
      </c>
      <c r="P17" s="10" t="n">
        <v>21.9</v>
      </c>
      <c r="Q17" s="10" t="n">
        <v>7.4</v>
      </c>
      <c r="R17" s="10" t="n">
        <v>8.6</v>
      </c>
      <c r="S17" s="10" t="n">
        <v>9.1</v>
      </c>
    </row>
    <row r="18" customFormat="false" ht="15" hidden="false" customHeight="false" outlineLevel="0" collapsed="false">
      <c r="A18" s="6" t="s">
        <v>51</v>
      </c>
      <c r="B18" s="9" t="n">
        <v>4772</v>
      </c>
      <c r="C18" s="9" t="n">
        <v>3260</v>
      </c>
      <c r="D18" s="9" t="n">
        <v>314</v>
      </c>
      <c r="E18" s="9" t="n">
        <v>293</v>
      </c>
      <c r="F18" s="9" t="n">
        <v>688</v>
      </c>
      <c r="G18" s="9" t="n">
        <v>356</v>
      </c>
      <c r="H18" s="9" t="n">
        <v>323</v>
      </c>
      <c r="I18" s="9" t="n">
        <v>1286</v>
      </c>
      <c r="J18" s="9" t="n">
        <v>1512</v>
      </c>
      <c r="K18" s="10" t="n">
        <v>102.8</v>
      </c>
      <c r="L18" s="10" t="n">
        <v>71.4</v>
      </c>
      <c r="M18" s="10" t="n">
        <v>31.4</v>
      </c>
      <c r="N18" s="10" t="n">
        <v>17</v>
      </c>
      <c r="O18" s="10" t="n">
        <v>6.5</v>
      </c>
      <c r="P18" s="10" t="n">
        <v>21.6</v>
      </c>
      <c r="Q18" s="10" t="n">
        <v>6.9</v>
      </c>
      <c r="R18" s="10" t="n">
        <v>7.8</v>
      </c>
      <c r="S18" s="10" t="n">
        <v>11.5</v>
      </c>
    </row>
    <row r="19" customFormat="false" ht="15" hidden="false" customHeight="false" outlineLevel="0" collapsed="false">
      <c r="A19" s="6" t="s">
        <v>52</v>
      </c>
      <c r="B19" s="9" t="n">
        <v>6152</v>
      </c>
      <c r="C19" s="9" t="n">
        <v>4457</v>
      </c>
      <c r="D19" s="9" t="n">
        <v>630</v>
      </c>
      <c r="E19" s="9" t="n">
        <v>478</v>
      </c>
      <c r="F19" s="9" t="n">
        <v>923</v>
      </c>
      <c r="G19" s="9" t="n">
        <v>370</v>
      </c>
      <c r="H19" s="9" t="n">
        <v>559</v>
      </c>
      <c r="I19" s="9" t="n">
        <v>1497</v>
      </c>
      <c r="J19" s="9" t="n">
        <v>1695</v>
      </c>
      <c r="K19" s="10" t="n">
        <v>136.9</v>
      </c>
      <c r="L19" s="10" t="n">
        <v>106</v>
      </c>
      <c r="M19" s="10" t="n">
        <v>30.9</v>
      </c>
      <c r="N19" s="10" t="n">
        <v>31</v>
      </c>
      <c r="O19" s="10" t="n">
        <v>11.5</v>
      </c>
      <c r="P19" s="10" t="n">
        <v>28.9</v>
      </c>
      <c r="Q19" s="10" t="n">
        <v>7.5</v>
      </c>
      <c r="R19" s="10" t="n">
        <v>13.2</v>
      </c>
      <c r="S19" s="10" t="n">
        <v>13.9</v>
      </c>
    </row>
    <row r="20" customFormat="false" ht="15" hidden="false" customHeight="false" outlineLevel="0" collapsed="false">
      <c r="A20" s="6" t="s">
        <v>53</v>
      </c>
      <c r="B20" s="9" t="n">
        <v>6607</v>
      </c>
      <c r="C20" s="9" t="n">
        <v>4750</v>
      </c>
      <c r="D20" s="9" t="n">
        <v>462</v>
      </c>
      <c r="E20" s="9" t="n">
        <v>572</v>
      </c>
      <c r="F20" s="9" t="n">
        <v>1140</v>
      </c>
      <c r="G20" s="9" t="n">
        <v>382</v>
      </c>
      <c r="H20" s="9" t="n">
        <v>700</v>
      </c>
      <c r="I20" s="9" t="n">
        <v>1494</v>
      </c>
      <c r="J20" s="9" t="n">
        <v>1857</v>
      </c>
      <c r="K20" s="10" t="n">
        <v>153.9</v>
      </c>
      <c r="L20" s="10" t="n">
        <v>118.6</v>
      </c>
      <c r="M20" s="10" t="n">
        <v>35.3</v>
      </c>
      <c r="N20" s="10" t="n">
        <v>27.1</v>
      </c>
      <c r="O20" s="10" t="n">
        <v>13.2</v>
      </c>
      <c r="P20" s="10" t="n">
        <v>38.7</v>
      </c>
      <c r="Q20" s="10" t="n">
        <v>7.4</v>
      </c>
      <c r="R20" s="10" t="n">
        <v>17.6</v>
      </c>
      <c r="S20" s="10" t="n">
        <v>14.7</v>
      </c>
    </row>
    <row r="21" customFormat="false" ht="15" hidden="false" customHeight="false" outlineLevel="0" collapsed="false">
      <c r="A21" s="6" t="s">
        <v>54</v>
      </c>
      <c r="B21" s="9" t="n">
        <v>5225</v>
      </c>
      <c r="C21" s="9" t="n">
        <v>3910</v>
      </c>
      <c r="D21" s="9" t="n">
        <v>447</v>
      </c>
      <c r="E21" s="9" t="n">
        <v>425</v>
      </c>
      <c r="F21" s="9" t="n">
        <v>745</v>
      </c>
      <c r="G21" s="9" t="n">
        <v>314</v>
      </c>
      <c r="H21" s="9" t="n">
        <v>550</v>
      </c>
      <c r="I21" s="9" t="n">
        <v>1429</v>
      </c>
      <c r="J21" s="9" t="n">
        <v>1315</v>
      </c>
      <c r="K21" s="10" t="n">
        <v>121.8</v>
      </c>
      <c r="L21" s="10" t="n">
        <v>97.7</v>
      </c>
      <c r="M21" s="10" t="n">
        <v>24.2</v>
      </c>
      <c r="N21" s="10" t="n">
        <v>28.1</v>
      </c>
      <c r="O21" s="10" t="n">
        <v>9.7</v>
      </c>
      <c r="P21" s="10" t="n">
        <v>24.1</v>
      </c>
      <c r="Q21" s="10" t="n">
        <v>6.5</v>
      </c>
      <c r="R21" s="10" t="n">
        <v>14.3</v>
      </c>
      <c r="S21" s="10" t="n">
        <v>15</v>
      </c>
    </row>
    <row r="22" customFormat="false" ht="15" hidden="false" customHeight="false" outlineLevel="0" collapsed="false">
      <c r="A22" s="6" t="s">
        <v>55</v>
      </c>
      <c r="B22" s="9" t="n">
        <v>6527</v>
      </c>
      <c r="C22" s="9" t="n">
        <v>4790</v>
      </c>
      <c r="D22" s="9" t="n">
        <v>659</v>
      </c>
      <c r="E22" s="9" t="n">
        <v>601</v>
      </c>
      <c r="F22" s="9" t="n">
        <v>916</v>
      </c>
      <c r="G22" s="9" t="n">
        <v>442</v>
      </c>
      <c r="H22" s="9" t="n">
        <v>618</v>
      </c>
      <c r="I22" s="9" t="n">
        <v>1554</v>
      </c>
      <c r="J22" s="9" t="n">
        <v>1737</v>
      </c>
      <c r="K22" s="10" t="n">
        <v>166.8</v>
      </c>
      <c r="L22" s="10" t="n">
        <v>128.7</v>
      </c>
      <c r="M22" s="10" t="n">
        <v>38.2</v>
      </c>
      <c r="N22" s="10" t="n">
        <v>40</v>
      </c>
      <c r="O22" s="10" t="n">
        <v>15</v>
      </c>
      <c r="P22" s="10" t="n">
        <v>31.3</v>
      </c>
      <c r="Q22" s="10" t="n">
        <v>9.5</v>
      </c>
      <c r="R22" s="10" t="n">
        <v>15.7</v>
      </c>
      <c r="S22" s="10" t="n">
        <v>17.1</v>
      </c>
    </row>
    <row r="23" customFormat="false" ht="15" hidden="false" customHeight="false" outlineLevel="0" collapsed="false">
      <c r="A23" s="6" t="s">
        <v>56</v>
      </c>
      <c r="B23" s="9" t="n">
        <v>5089</v>
      </c>
      <c r="C23" s="9" t="n">
        <v>3819</v>
      </c>
      <c r="D23" s="9" t="n">
        <v>421</v>
      </c>
      <c r="E23" s="9" t="n">
        <v>464</v>
      </c>
      <c r="F23" s="9" t="n">
        <v>922</v>
      </c>
      <c r="G23" s="9" t="n">
        <v>315</v>
      </c>
      <c r="H23" s="9" t="n">
        <v>517</v>
      </c>
      <c r="I23" s="9" t="n">
        <v>1180</v>
      </c>
      <c r="J23" s="9" t="n">
        <v>1270</v>
      </c>
      <c r="K23" s="10" t="n">
        <v>129.9</v>
      </c>
      <c r="L23" s="10" t="n">
        <v>102.9</v>
      </c>
      <c r="M23" s="10" t="n">
        <v>27</v>
      </c>
      <c r="N23" s="10" t="n">
        <v>30.6</v>
      </c>
      <c r="O23" s="10" t="n">
        <v>10.7</v>
      </c>
      <c r="P23" s="10" t="n">
        <v>31.8</v>
      </c>
      <c r="Q23" s="10" t="n">
        <v>6.1</v>
      </c>
      <c r="R23" s="10" t="n">
        <v>12.4</v>
      </c>
      <c r="S23" s="10" t="n">
        <v>11.3</v>
      </c>
    </row>
    <row r="24" customFormat="false" ht="15" hidden="false" customHeight="false" outlineLevel="0" collapsed="false">
      <c r="A24" s="6" t="s">
        <v>57</v>
      </c>
      <c r="B24" s="9" t="n">
        <v>4937</v>
      </c>
      <c r="C24" s="9" t="n">
        <v>3726</v>
      </c>
      <c r="D24" s="9" t="n">
        <v>459</v>
      </c>
      <c r="E24" s="9" t="n">
        <v>362</v>
      </c>
      <c r="F24" s="9" t="n">
        <v>945</v>
      </c>
      <c r="G24" s="9" t="n">
        <v>372</v>
      </c>
      <c r="H24" s="9" t="n">
        <v>452</v>
      </c>
      <c r="I24" s="9" t="n">
        <v>1137</v>
      </c>
      <c r="J24" s="9" t="n">
        <v>1211</v>
      </c>
      <c r="K24" s="10" t="n">
        <v>123.6</v>
      </c>
      <c r="L24" s="10" t="n">
        <v>100.2</v>
      </c>
      <c r="M24" s="10" t="n">
        <v>23.4</v>
      </c>
      <c r="N24" s="10" t="n">
        <v>27.7</v>
      </c>
      <c r="O24" s="10" t="n">
        <v>9</v>
      </c>
      <c r="P24" s="10" t="n">
        <v>33.8</v>
      </c>
      <c r="Q24" s="10" t="n">
        <v>7.1</v>
      </c>
      <c r="R24" s="10" t="n">
        <v>10.6</v>
      </c>
      <c r="S24" s="10" t="n">
        <v>12</v>
      </c>
    </row>
    <row r="25" customFormat="false" ht="15" hidden="false" customHeight="false" outlineLevel="0" collapsed="false">
      <c r="A25" s="6" t="s">
        <v>58</v>
      </c>
      <c r="B25" s="9" t="n">
        <v>4310</v>
      </c>
      <c r="C25" s="9" t="n">
        <v>2935</v>
      </c>
      <c r="D25" s="9" t="n">
        <v>335</v>
      </c>
      <c r="E25" s="9" t="n">
        <v>72</v>
      </c>
      <c r="F25" s="9" t="n">
        <v>515</v>
      </c>
      <c r="G25" s="9" t="n">
        <v>276</v>
      </c>
      <c r="H25" s="9" t="n">
        <v>355</v>
      </c>
      <c r="I25" s="9" t="n">
        <v>1382</v>
      </c>
      <c r="J25" s="9" t="n">
        <v>1375</v>
      </c>
      <c r="K25" s="10" t="n">
        <v>103.7</v>
      </c>
      <c r="L25" s="10" t="n">
        <v>75.5</v>
      </c>
      <c r="M25" s="10" t="n">
        <v>28.3</v>
      </c>
      <c r="N25" s="10" t="n">
        <v>22.7</v>
      </c>
      <c r="O25" s="10" t="n">
        <v>2.2</v>
      </c>
      <c r="P25" s="10" t="n">
        <v>18.7</v>
      </c>
      <c r="Q25" s="10" t="n">
        <v>5.7</v>
      </c>
      <c r="R25" s="10" t="n">
        <v>9.2</v>
      </c>
      <c r="S25" s="10" t="n">
        <v>17</v>
      </c>
    </row>
    <row r="26" customFormat="false" ht="15" hidden="false" customHeight="false" outlineLevel="0" collapsed="false">
      <c r="A26" s="6" t="s">
        <v>59</v>
      </c>
      <c r="B26" s="9" t="n">
        <v>4935</v>
      </c>
      <c r="C26" s="9" t="n">
        <v>3203</v>
      </c>
      <c r="D26" s="9" t="n">
        <v>292</v>
      </c>
      <c r="E26" s="9" t="n">
        <v>114</v>
      </c>
      <c r="F26" s="9" t="n">
        <v>681</v>
      </c>
      <c r="G26" s="9" t="n">
        <v>302</v>
      </c>
      <c r="H26" s="9" t="n">
        <v>320</v>
      </c>
      <c r="I26" s="9" t="n">
        <v>1494</v>
      </c>
      <c r="J26" s="9" t="n">
        <v>1732</v>
      </c>
      <c r="K26" s="10" t="n">
        <v>126</v>
      </c>
      <c r="L26" s="10" t="n">
        <v>83.3</v>
      </c>
      <c r="M26" s="10" t="n">
        <v>42.7</v>
      </c>
      <c r="N26" s="10" t="n">
        <v>21.1</v>
      </c>
      <c r="O26" s="10" t="n">
        <v>3.7</v>
      </c>
      <c r="P26" s="10" t="n">
        <v>25.3</v>
      </c>
      <c r="Q26" s="10" t="n">
        <v>6.7</v>
      </c>
      <c r="R26" s="10" t="n">
        <v>8</v>
      </c>
      <c r="S26" s="10" t="n">
        <v>18.4</v>
      </c>
    </row>
    <row r="27" customFormat="false" ht="15" hidden="false" customHeight="false" outlineLevel="0" collapsed="false">
      <c r="A27" s="6" t="s">
        <v>60</v>
      </c>
      <c r="B27" s="9" t="n">
        <v>4749</v>
      </c>
      <c r="C27" s="9" t="n">
        <v>3288</v>
      </c>
      <c r="D27" s="9" t="n">
        <v>276</v>
      </c>
      <c r="E27" s="9" t="n">
        <v>101</v>
      </c>
      <c r="F27" s="9" t="n">
        <v>623</v>
      </c>
      <c r="G27" s="9" t="n">
        <v>246</v>
      </c>
      <c r="H27" s="9" t="n">
        <v>616</v>
      </c>
      <c r="I27" s="9" t="n">
        <v>1426</v>
      </c>
      <c r="J27" s="9" t="n">
        <v>1461</v>
      </c>
      <c r="K27" s="10" t="n">
        <v>121.3</v>
      </c>
      <c r="L27" s="10" t="n">
        <v>88.8</v>
      </c>
      <c r="M27" s="10" t="n">
        <v>32.5</v>
      </c>
      <c r="N27" s="10" t="n">
        <v>20</v>
      </c>
      <c r="O27" s="10" t="n">
        <v>2.9</v>
      </c>
      <c r="P27" s="10" t="n">
        <v>23.3</v>
      </c>
      <c r="Q27" s="10" t="n">
        <v>5.8</v>
      </c>
      <c r="R27" s="10" t="n">
        <v>18.1</v>
      </c>
      <c r="S27" s="10" t="n">
        <v>18.6</v>
      </c>
    </row>
    <row r="28" customFormat="false" ht="15" hidden="false" customHeight="false" outlineLevel="0" collapsed="false">
      <c r="A28" s="6" t="s">
        <v>61</v>
      </c>
      <c r="B28" s="9" t="n">
        <v>5033</v>
      </c>
      <c r="C28" s="9" t="n">
        <v>3296</v>
      </c>
      <c r="D28" s="9" t="n">
        <v>266</v>
      </c>
      <c r="E28" s="9" t="n">
        <v>112</v>
      </c>
      <c r="F28" s="9" t="n">
        <v>641</v>
      </c>
      <c r="G28" s="9" t="n">
        <v>277</v>
      </c>
      <c r="H28" s="9" t="n">
        <v>375</v>
      </c>
      <c r="I28" s="9" t="n">
        <v>1625</v>
      </c>
      <c r="J28" s="9" t="n">
        <v>1737</v>
      </c>
      <c r="K28" s="10" t="n">
        <v>121.2</v>
      </c>
      <c r="L28" s="10" t="n">
        <v>86.5</v>
      </c>
      <c r="M28" s="10" t="n">
        <v>34.7</v>
      </c>
      <c r="N28" s="10" t="n">
        <v>18.7</v>
      </c>
      <c r="O28" s="10" t="n">
        <v>3.6</v>
      </c>
      <c r="P28" s="10" t="n">
        <v>24.1</v>
      </c>
      <c r="Q28" s="10" t="n">
        <v>6.8</v>
      </c>
      <c r="R28" s="10" t="n">
        <v>10.5</v>
      </c>
      <c r="S28" s="10" t="n">
        <v>22.7</v>
      </c>
    </row>
    <row r="29" customFormat="false" ht="15" hidden="false" customHeight="false" outlineLevel="0" collapsed="false">
      <c r="A29" s="6" t="s">
        <v>62</v>
      </c>
      <c r="B29" s="9" t="n">
        <v>4690</v>
      </c>
      <c r="C29" s="9" t="n">
        <v>3436</v>
      </c>
      <c r="D29" s="9" t="n">
        <v>236</v>
      </c>
      <c r="E29" s="9" t="n">
        <v>156</v>
      </c>
      <c r="F29" s="9" t="n">
        <v>700</v>
      </c>
      <c r="G29" s="9" t="n">
        <v>513</v>
      </c>
      <c r="H29" s="9" t="n">
        <v>767</v>
      </c>
      <c r="I29" s="9" t="n">
        <v>1064</v>
      </c>
      <c r="J29" s="9" t="n">
        <v>1254</v>
      </c>
      <c r="K29" s="10" t="n">
        <v>120.6</v>
      </c>
      <c r="L29" s="10" t="n">
        <v>94.4</v>
      </c>
      <c r="M29" s="10" t="n">
        <v>26.2</v>
      </c>
      <c r="N29" s="10" t="n">
        <v>16.9</v>
      </c>
      <c r="O29" s="10" t="n">
        <v>5.3</v>
      </c>
      <c r="P29" s="10" t="n">
        <v>24.6</v>
      </c>
      <c r="Q29" s="10" t="n">
        <v>12.2</v>
      </c>
      <c r="R29" s="10" t="n">
        <v>22</v>
      </c>
      <c r="S29" s="10" t="n">
        <v>13.4</v>
      </c>
    </row>
    <row r="30" customFormat="false" ht="15" hidden="false" customHeight="false" outlineLevel="0" collapsed="false">
      <c r="A30" s="6" t="s">
        <v>63</v>
      </c>
      <c r="B30" s="9" t="n">
        <v>4644</v>
      </c>
      <c r="C30" s="9" t="n">
        <v>3191</v>
      </c>
      <c r="D30" s="9" t="n">
        <v>219</v>
      </c>
      <c r="E30" s="9" t="n">
        <v>68</v>
      </c>
      <c r="F30" s="9" t="n">
        <v>600</v>
      </c>
      <c r="G30" s="9" t="n">
        <v>287</v>
      </c>
      <c r="H30" s="9" t="n">
        <v>653</v>
      </c>
      <c r="I30" s="9" t="n">
        <v>1364</v>
      </c>
      <c r="J30" s="9" t="n">
        <v>1453</v>
      </c>
      <c r="K30" s="10" t="n">
        <v>115</v>
      </c>
      <c r="L30" s="10" t="n">
        <v>84.1</v>
      </c>
      <c r="M30" s="10" t="n">
        <v>30.9</v>
      </c>
      <c r="N30" s="10" t="n">
        <v>15.9</v>
      </c>
      <c r="O30" s="10" t="n">
        <v>2.1</v>
      </c>
      <c r="P30" s="10" t="n">
        <v>20.5</v>
      </c>
      <c r="Q30" s="10" t="n">
        <v>6.7</v>
      </c>
      <c r="R30" s="10" t="n">
        <v>17.8</v>
      </c>
      <c r="S30" s="10" t="n">
        <v>21.2</v>
      </c>
    </row>
    <row r="31" customFormat="false" ht="15" hidden="false" customHeight="false" outlineLevel="0" collapsed="false">
      <c r="A31" s="6" t="s">
        <v>64</v>
      </c>
      <c r="B31" s="9" t="n">
        <v>5292</v>
      </c>
      <c r="C31" s="9" t="n">
        <v>3808</v>
      </c>
      <c r="D31" s="9" t="n">
        <v>337</v>
      </c>
      <c r="E31" s="9" t="n">
        <v>86</v>
      </c>
      <c r="F31" s="9" t="n">
        <v>802</v>
      </c>
      <c r="G31" s="9" t="n">
        <v>322</v>
      </c>
      <c r="H31" s="9" t="n">
        <v>781</v>
      </c>
      <c r="I31" s="9" t="n">
        <v>1480</v>
      </c>
      <c r="J31" s="9" t="n">
        <v>1484</v>
      </c>
      <c r="K31" s="10" t="n">
        <v>138.1</v>
      </c>
      <c r="L31" s="10" t="n">
        <v>107.7</v>
      </c>
      <c r="M31" s="10" t="n">
        <v>30.4</v>
      </c>
      <c r="N31" s="10" t="n">
        <v>23.8</v>
      </c>
      <c r="O31" s="10" t="n">
        <v>2.7</v>
      </c>
      <c r="P31" s="10" t="n">
        <v>29.1</v>
      </c>
      <c r="Q31" s="10" t="n">
        <v>7.7</v>
      </c>
      <c r="R31" s="10" t="n">
        <v>22.7</v>
      </c>
      <c r="S31" s="10" t="n">
        <v>21.7</v>
      </c>
    </row>
    <row r="32" customFormat="false" ht="15" hidden="false" customHeight="false" outlineLevel="0" collapsed="false">
      <c r="A32" s="6" t="s">
        <v>65</v>
      </c>
      <c r="B32" s="9" t="n">
        <v>6224</v>
      </c>
      <c r="C32" s="9" t="n">
        <v>4738</v>
      </c>
      <c r="D32" s="9" t="n">
        <v>646</v>
      </c>
      <c r="E32" s="9" t="n">
        <v>232</v>
      </c>
      <c r="F32" s="9" t="n">
        <v>841</v>
      </c>
      <c r="G32" s="9" t="n">
        <v>495</v>
      </c>
      <c r="H32" s="9" t="n">
        <v>1021</v>
      </c>
      <c r="I32" s="9" t="n">
        <v>1503</v>
      </c>
      <c r="J32" s="9" t="n">
        <v>1486</v>
      </c>
      <c r="K32" s="10" t="n">
        <v>183</v>
      </c>
      <c r="L32" s="10" t="n">
        <v>151.6</v>
      </c>
      <c r="M32" s="10" t="n">
        <v>31.5</v>
      </c>
      <c r="N32" s="10" t="n">
        <v>37.2</v>
      </c>
      <c r="O32" s="10" t="n">
        <v>7.1</v>
      </c>
      <c r="P32" s="10" t="n">
        <v>33</v>
      </c>
      <c r="Q32" s="10" t="n">
        <v>14.5</v>
      </c>
      <c r="R32" s="10" t="n">
        <v>35</v>
      </c>
      <c r="S32" s="10" t="n">
        <v>24.7</v>
      </c>
    </row>
    <row r="33" customFormat="false" ht="15" hidden="false" customHeight="false" outlineLevel="0" collapsed="false">
      <c r="A33" s="6" t="s">
        <v>66</v>
      </c>
      <c r="B33" s="9" t="n">
        <v>4734</v>
      </c>
      <c r="C33" s="9" t="n">
        <v>3634</v>
      </c>
      <c r="D33" s="9" t="n">
        <v>683</v>
      </c>
      <c r="E33" s="9" t="n">
        <v>52</v>
      </c>
      <c r="F33" s="9" t="n">
        <v>587</v>
      </c>
      <c r="G33" s="9" t="n">
        <v>269</v>
      </c>
      <c r="H33" s="9" t="n">
        <v>807</v>
      </c>
      <c r="I33" s="9" t="n">
        <v>1236</v>
      </c>
      <c r="J33" s="9" t="n">
        <v>1100</v>
      </c>
      <c r="K33" s="10" t="n">
        <v>148.9</v>
      </c>
      <c r="L33" s="10" t="n">
        <v>116.3</v>
      </c>
      <c r="M33" s="10" t="n">
        <v>32.6</v>
      </c>
      <c r="N33" s="10" t="n">
        <v>36.5</v>
      </c>
      <c r="O33" s="10" t="n">
        <v>1.6</v>
      </c>
      <c r="P33" s="10" t="n">
        <v>22.8</v>
      </c>
      <c r="Q33" s="10" t="n">
        <v>7.4</v>
      </c>
      <c r="R33" s="10" t="n">
        <v>26.5</v>
      </c>
      <c r="S33" s="10" t="n">
        <v>21.6</v>
      </c>
    </row>
    <row r="34" customFormat="false" ht="15" hidden="false" customHeight="false" outlineLevel="0" collapsed="false">
      <c r="A34" s="6" t="s">
        <v>67</v>
      </c>
      <c r="B34" s="9" t="n">
        <v>6196</v>
      </c>
      <c r="C34" s="9" t="n">
        <v>4865</v>
      </c>
      <c r="D34" s="9" t="n">
        <v>489</v>
      </c>
      <c r="E34" s="9" t="n">
        <v>308</v>
      </c>
      <c r="F34" s="9" t="n">
        <v>1328</v>
      </c>
      <c r="G34" s="9" t="n">
        <v>276</v>
      </c>
      <c r="H34" s="9" t="n">
        <v>715</v>
      </c>
      <c r="I34" s="9" t="n">
        <v>1749</v>
      </c>
      <c r="J34" s="9" t="n">
        <v>1331</v>
      </c>
      <c r="K34" s="10" t="n">
        <v>184.9</v>
      </c>
      <c r="L34" s="10" t="n">
        <v>153.9</v>
      </c>
      <c r="M34" s="10" t="n">
        <v>31</v>
      </c>
      <c r="N34" s="10" t="n">
        <v>28.4</v>
      </c>
      <c r="O34" s="10" t="n">
        <v>10</v>
      </c>
      <c r="P34" s="10" t="n">
        <v>52.3</v>
      </c>
      <c r="Q34" s="10" t="n">
        <v>7.1</v>
      </c>
      <c r="R34" s="10" t="n">
        <v>23.2</v>
      </c>
      <c r="S34" s="10" t="n">
        <v>32.9</v>
      </c>
    </row>
    <row r="35" customFormat="false" ht="15" hidden="false" customHeight="false" outlineLevel="0" collapsed="false">
      <c r="A35" s="6" t="s">
        <v>68</v>
      </c>
      <c r="B35" s="9" t="n">
        <v>7113</v>
      </c>
      <c r="C35" s="9" t="n">
        <v>5440</v>
      </c>
      <c r="D35" s="9" t="n">
        <v>432</v>
      </c>
      <c r="E35" s="9" t="n">
        <v>202</v>
      </c>
      <c r="F35" s="9" t="n">
        <v>1513</v>
      </c>
      <c r="G35" s="9" t="n">
        <v>357</v>
      </c>
      <c r="H35" s="9" t="n">
        <v>744</v>
      </c>
      <c r="I35" s="9" t="n">
        <v>2192</v>
      </c>
      <c r="J35" s="9" t="n">
        <v>1673</v>
      </c>
      <c r="K35" s="10" t="n">
        <v>215.1</v>
      </c>
      <c r="L35" s="10" t="n">
        <v>171.6</v>
      </c>
      <c r="M35" s="10" t="n">
        <v>43.5</v>
      </c>
      <c r="N35" s="10" t="n">
        <v>27.5</v>
      </c>
      <c r="O35" s="10" t="n">
        <v>5.9</v>
      </c>
      <c r="P35" s="10" t="n">
        <v>61.6</v>
      </c>
      <c r="Q35" s="10" t="n">
        <v>9</v>
      </c>
      <c r="R35" s="10" t="n">
        <v>21.8</v>
      </c>
      <c r="S35" s="10" t="n">
        <v>45.7</v>
      </c>
    </row>
    <row r="36" customFormat="false" ht="15" hidden="false" customHeight="false" outlineLevel="0" collapsed="false">
      <c r="A36" s="6" t="s">
        <v>69</v>
      </c>
      <c r="B36" s="9" t="n">
        <v>8371</v>
      </c>
      <c r="C36" s="9" t="n">
        <v>6503</v>
      </c>
      <c r="D36" s="9" t="n">
        <v>402</v>
      </c>
      <c r="E36" s="9" t="n">
        <v>342</v>
      </c>
      <c r="F36" s="9" t="n">
        <v>2137</v>
      </c>
      <c r="G36" s="9" t="n">
        <v>421</v>
      </c>
      <c r="H36" s="9" t="n">
        <v>781</v>
      </c>
      <c r="I36" s="9" t="n">
        <v>2420</v>
      </c>
      <c r="J36" s="9" t="n">
        <v>1868</v>
      </c>
      <c r="K36" s="10" t="n">
        <v>261.8</v>
      </c>
      <c r="L36" s="10" t="n">
        <v>215.6</v>
      </c>
      <c r="M36" s="10" t="n">
        <v>46.2</v>
      </c>
      <c r="N36" s="10" t="n">
        <v>27.7</v>
      </c>
      <c r="O36" s="10" t="n">
        <v>9.7</v>
      </c>
      <c r="P36" s="10" t="n">
        <v>91.7</v>
      </c>
      <c r="Q36" s="10" t="n">
        <v>10.9</v>
      </c>
      <c r="R36" s="10" t="n">
        <v>25.1</v>
      </c>
      <c r="S36" s="10" t="n">
        <v>50.4</v>
      </c>
    </row>
    <row r="37" customFormat="false" ht="15" hidden="false" customHeight="false" outlineLevel="0" collapsed="false">
      <c r="A37" s="6" t="s">
        <v>70</v>
      </c>
      <c r="B37" s="9" t="n">
        <v>7472</v>
      </c>
      <c r="C37" s="9" t="n">
        <v>6008</v>
      </c>
      <c r="D37" s="9" t="n">
        <v>503</v>
      </c>
      <c r="E37" s="9" t="n">
        <v>209</v>
      </c>
      <c r="F37" s="9" t="n">
        <v>1474</v>
      </c>
      <c r="G37" s="9" t="n">
        <v>354</v>
      </c>
      <c r="H37" s="9" t="n">
        <v>998</v>
      </c>
      <c r="I37" s="9" t="n">
        <v>2470</v>
      </c>
      <c r="J37" s="9" t="n">
        <v>1464</v>
      </c>
      <c r="K37" s="10" t="n">
        <v>230.5</v>
      </c>
      <c r="L37" s="10" t="n">
        <v>195.7</v>
      </c>
      <c r="M37" s="10" t="n">
        <v>34.8</v>
      </c>
      <c r="N37" s="10" t="n">
        <v>30.3</v>
      </c>
      <c r="O37" s="10" t="n">
        <v>6.4</v>
      </c>
      <c r="P37" s="10" t="n">
        <v>60.3</v>
      </c>
      <c r="Q37" s="10" t="n">
        <v>9.9</v>
      </c>
      <c r="R37" s="10" t="n">
        <v>33</v>
      </c>
      <c r="S37" s="10" t="n">
        <v>55.8</v>
      </c>
    </row>
    <row r="38" customFormat="false" ht="15" hidden="false" customHeight="false" outlineLevel="0" collapsed="false">
      <c r="A38" s="6" t="s">
        <v>71</v>
      </c>
      <c r="B38" s="9" t="n">
        <v>8497</v>
      </c>
      <c r="C38" s="9" t="n">
        <v>6530</v>
      </c>
      <c r="D38" s="9" t="n">
        <v>696</v>
      </c>
      <c r="E38" s="9" t="n">
        <v>351</v>
      </c>
      <c r="F38" s="9" t="n">
        <v>1569</v>
      </c>
      <c r="G38" s="9" t="n">
        <v>463</v>
      </c>
      <c r="H38" s="9" t="n">
        <v>1034</v>
      </c>
      <c r="I38" s="9" t="n">
        <v>2417</v>
      </c>
      <c r="J38" s="9" t="n">
        <v>1967</v>
      </c>
      <c r="K38" s="10" t="n">
        <v>289.7</v>
      </c>
      <c r="L38" s="10" t="n">
        <v>231.7</v>
      </c>
      <c r="M38" s="10" t="n">
        <v>58.1</v>
      </c>
      <c r="N38" s="10" t="n">
        <v>48.8</v>
      </c>
      <c r="O38" s="10" t="n">
        <v>11.4</v>
      </c>
      <c r="P38" s="10" t="n">
        <v>67.6</v>
      </c>
      <c r="Q38" s="10" t="n">
        <v>14.2</v>
      </c>
      <c r="R38" s="10" t="n">
        <v>37.3</v>
      </c>
      <c r="S38" s="10" t="n">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4" min="2" style="0" width="14"/>
    <col collapsed="false" customWidth="true" hidden="false" outlineLevel="0" max="6" min="5" style="0" width="12"/>
    <col collapsed="false" customWidth="true" hidden="false" outlineLevel="0" max="7" min="7" style="0" width="10"/>
    <col collapsed="false" customWidth="true" hidden="false" outlineLevel="0" max="8" min="8" style="0" width="15"/>
    <col collapsed="false" customWidth="true" hidden="false" outlineLevel="0" max="9" min="9" style="0" width="13"/>
  </cols>
  <sheetData>
    <row r="1" customFormat="false" ht="16.15" hidden="false" customHeight="false" outlineLevel="0" collapsed="false">
      <c r="A1" s="1" t="s">
        <v>92</v>
      </c>
    </row>
    <row r="2" customFormat="false" ht="15" hidden="false" customHeight="false" outlineLevel="0" collapsed="false">
      <c r="A2" s="2" t="s">
        <v>93</v>
      </c>
    </row>
    <row r="3" customFormat="false" ht="15" hidden="false" customHeight="false" outlineLevel="0" collapsed="false">
      <c r="A3" s="11" t="s">
        <v>94</v>
      </c>
      <c r="B3" s="12" t="n">
        <v>385</v>
      </c>
    </row>
    <row r="5" customFormat="false" ht="39.75" hidden="false" customHeight="true" outlineLevel="0" collapsed="false">
      <c r="A5" s="5" t="s">
        <v>95</v>
      </c>
      <c r="B5" s="5" t="s">
        <v>96</v>
      </c>
      <c r="C5" s="5" t="s">
        <v>97</v>
      </c>
      <c r="D5" s="5" t="s">
        <v>98</v>
      </c>
      <c r="E5" s="5" t="s">
        <v>99</v>
      </c>
      <c r="F5" s="5" t="s">
        <v>100</v>
      </c>
      <c r="G5" s="5" t="s">
        <v>101</v>
      </c>
      <c r="H5" s="5" t="s">
        <v>102</v>
      </c>
      <c r="I5" s="5" t="s">
        <v>103</v>
      </c>
    </row>
    <row r="6" customFormat="false" ht="15" hidden="false" customHeight="false" outlineLevel="0" collapsed="false">
      <c r="A6" s="11" t="s">
        <v>104</v>
      </c>
      <c r="B6" s="10" t="n">
        <v>742.5</v>
      </c>
      <c r="C6" s="10" t="n">
        <v>902</v>
      </c>
      <c r="D6" s="10" t="n">
        <v>966.9</v>
      </c>
      <c r="E6" s="9" t="n">
        <f aca="false">D6*1000/$B$3</f>
        <v>2511.42857142857</v>
      </c>
      <c r="F6" s="8" t="n">
        <f aca="false">D6/B6-1</f>
        <v>0.302222222222222</v>
      </c>
      <c r="G6" s="8" t="n">
        <v>-0.008</v>
      </c>
      <c r="H6" s="9" t="n">
        <v>1293</v>
      </c>
      <c r="I6" s="9" t="n">
        <f aca="false">H6*1000/$B$3</f>
        <v>3358.44155844156</v>
      </c>
    </row>
    <row r="7" customFormat="false" ht="15" hidden="false" customHeight="false" outlineLevel="0" collapsed="false">
      <c r="A7" s="11" t="s">
        <v>105</v>
      </c>
      <c r="B7" s="10" t="n">
        <v>527</v>
      </c>
      <c r="C7" s="10" t="n">
        <v>633.2</v>
      </c>
      <c r="D7" s="10" t="n">
        <v>703.7</v>
      </c>
      <c r="E7" s="9" t="n">
        <f aca="false">D7*1000/$B$3</f>
        <v>1827.79220779221</v>
      </c>
      <c r="F7" s="8" t="n">
        <f aca="false">D7/B7-1</f>
        <v>0.335294117647059</v>
      </c>
      <c r="G7" s="8" t="n">
        <v>-0.015</v>
      </c>
      <c r="H7" s="9" t="n">
        <v>751</v>
      </c>
      <c r="I7" s="9" t="n">
        <f aca="false">H7*1000/$B$3</f>
        <v>1950.64935064935</v>
      </c>
    </row>
    <row r="8" customFormat="false" ht="15" hidden="false" customHeight="false" outlineLevel="0" collapsed="false">
      <c r="A8" s="11" t="s">
        <v>106</v>
      </c>
      <c r="B8" s="10"/>
      <c r="C8" s="10" t="n">
        <v>472.1</v>
      </c>
      <c r="D8" s="10" t="n">
        <v>562.2</v>
      </c>
      <c r="E8" s="9" t="n">
        <f aca="false">D8*1000/$B$3</f>
        <v>1460.25974025974</v>
      </c>
      <c r="G8" s="8"/>
      <c r="H8" s="9" t="n">
        <v>714</v>
      </c>
      <c r="I8" s="9" t="n">
        <f aca="false">H8*1000/$B$3</f>
        <v>1854.54545454545</v>
      </c>
    </row>
    <row r="9" customFormat="false" ht="15" hidden="false" customHeight="false" outlineLevel="0" collapsed="false">
      <c r="A9" s="11" t="s">
        <v>107</v>
      </c>
      <c r="B9" s="10" t="n">
        <v>388.5</v>
      </c>
      <c r="C9" s="10" t="n">
        <v>484.5</v>
      </c>
      <c r="D9" s="10" t="n">
        <v>555</v>
      </c>
      <c r="E9" s="9" t="n">
        <f aca="false">D9*1000/$B$3</f>
        <v>1441.55844155844</v>
      </c>
      <c r="F9" s="8" t="n">
        <f aca="false">D9/B9-1</f>
        <v>0.428571428571429</v>
      </c>
      <c r="G9" s="8" t="n">
        <v>-0.001</v>
      </c>
      <c r="H9" s="9" t="n">
        <v>596</v>
      </c>
      <c r="I9" s="9" t="n">
        <f aca="false">H9*1000/$B$3</f>
        <v>1548.05194805195</v>
      </c>
    </row>
    <row r="10" customFormat="false" ht="15" hidden="false" customHeight="false" outlineLevel="0" collapsed="false">
      <c r="A10" s="11" t="s">
        <v>108</v>
      </c>
      <c r="B10" s="10" t="n">
        <v>386</v>
      </c>
      <c r="C10" s="10" t="n">
        <v>458</v>
      </c>
      <c r="D10" s="10" t="n">
        <v>529.7</v>
      </c>
      <c r="E10" s="9" t="n">
        <f aca="false">D10*1000/$B$3</f>
        <v>1375.84415584416</v>
      </c>
      <c r="F10" s="8" t="n">
        <f aca="false">D10/B10-1</f>
        <v>0.372279792746114</v>
      </c>
      <c r="G10" s="8" t="n">
        <v>0.017</v>
      </c>
      <c r="H10" s="9" t="n">
        <v>586</v>
      </c>
      <c r="I10" s="9" t="n">
        <f aca="false">H10*1000/$B$3</f>
        <v>1522.07792207792</v>
      </c>
    </row>
    <row r="11" customFormat="false" ht="15" hidden="false" customHeight="false" outlineLevel="0" collapsed="false">
      <c r="A11" s="11" t="s">
        <v>109</v>
      </c>
      <c r="B11" s="10" t="n">
        <v>363</v>
      </c>
      <c r="C11" s="10" t="n">
        <v>425.1</v>
      </c>
      <c r="D11" s="10" t="n">
        <v>491</v>
      </c>
      <c r="E11" s="9" t="n">
        <f aca="false">D11*1000/$B$3</f>
        <v>1275.32467532468</v>
      </c>
      <c r="F11" s="8" t="n">
        <f aca="false">D11/B11-1</f>
        <v>0.352617079889807</v>
      </c>
      <c r="G11" s="8" t="n">
        <v>0.137</v>
      </c>
      <c r="H11" s="9" t="n">
        <v>540</v>
      </c>
      <c r="I11" s="9" t="n">
        <f aca="false">H11*1000/$B$3</f>
        <v>1402.5974025974</v>
      </c>
    </row>
    <row r="12" customFormat="false" ht="15" hidden="false" customHeight="false" outlineLevel="0" collapsed="false">
      <c r="A12" s="11" t="s">
        <v>110</v>
      </c>
      <c r="B12" s="10" t="n">
        <v>331.5</v>
      </c>
      <c r="C12" s="10" t="n">
        <v>425.5</v>
      </c>
      <c r="D12" s="10" t="n">
        <v>483</v>
      </c>
      <c r="E12" s="9" t="n">
        <f aca="false">D12*1000/$B$3</f>
        <v>1254.54545454545</v>
      </c>
      <c r="F12" s="8" t="n">
        <f aca="false">D12/B12-1</f>
        <v>0.457013574660633</v>
      </c>
      <c r="G12" s="8" t="n">
        <v>0.036</v>
      </c>
      <c r="H12" s="9" t="n">
        <v>527</v>
      </c>
      <c r="I12" s="9" t="n">
        <f aca="false">H12*1000/$B$3</f>
        <v>1368.83116883117</v>
      </c>
    </row>
    <row r="13" customFormat="false" ht="15" hidden="false" customHeight="false" outlineLevel="0" collapsed="false">
      <c r="A13" s="11" t="s">
        <v>111</v>
      </c>
      <c r="B13" s="10" t="n">
        <v>341</v>
      </c>
      <c r="C13" s="10" t="n">
        <v>404</v>
      </c>
      <c r="D13" s="10" t="n">
        <v>483</v>
      </c>
      <c r="E13" s="9" t="n">
        <f aca="false">D13*1000/$B$3</f>
        <v>1254.54545454545</v>
      </c>
      <c r="F13" s="8" t="n">
        <f aca="false">D13/B13-1</f>
        <v>0.416422287390029</v>
      </c>
      <c r="G13" s="8" t="n">
        <v>-0.007</v>
      </c>
      <c r="H13" s="9" t="n">
        <v>654</v>
      </c>
      <c r="I13" s="9" t="n">
        <f aca="false">H13*1000/$B$3</f>
        <v>1698.7012987013</v>
      </c>
    </row>
    <row r="14" customFormat="false" ht="15" hidden="false" customHeight="false" outlineLevel="0" collapsed="false">
      <c r="A14" s="11" t="s">
        <v>112</v>
      </c>
      <c r="B14" s="10" t="n">
        <v>337.5</v>
      </c>
      <c r="C14" s="10" t="n">
        <v>404.3</v>
      </c>
      <c r="D14" s="10" t="n">
        <v>482.9</v>
      </c>
      <c r="E14" s="9" t="n">
        <f aca="false">D14*1000/$B$3</f>
        <v>1254.28571428571</v>
      </c>
      <c r="F14" s="8" t="n">
        <f aca="false">D14/B14-1</f>
        <v>0.430814814814815</v>
      </c>
      <c r="G14" s="8" t="n">
        <v>0.011</v>
      </c>
      <c r="H14" s="9" t="n">
        <v>601</v>
      </c>
      <c r="I14" s="9" t="n">
        <f aca="false">H14*1000/$B$3</f>
        <v>1561.03896103896</v>
      </c>
    </row>
    <row r="15" customFormat="false" ht="15" hidden="false" customHeight="false" outlineLevel="0" collapsed="false">
      <c r="A15" s="11" t="s">
        <v>113</v>
      </c>
      <c r="B15" s="10" t="n">
        <v>342</v>
      </c>
      <c r="C15" s="10" t="n">
        <v>408.3</v>
      </c>
      <c r="D15" s="10" t="n">
        <v>481</v>
      </c>
      <c r="E15" s="9" t="n">
        <f aca="false">D15*1000/$B$3</f>
        <v>1249.35064935065</v>
      </c>
      <c r="F15" s="8" t="n">
        <f aca="false">D15/B15-1</f>
        <v>0.406432748538012</v>
      </c>
      <c r="G15" s="8" t="n">
        <v>-0.023</v>
      </c>
    </row>
    <row r="16" customFormat="false" ht="15" hidden="false" customHeight="false" outlineLevel="0" collapsed="false">
      <c r="A16" s="11" t="s">
        <v>114</v>
      </c>
      <c r="B16" s="10" t="n">
        <v>336.5</v>
      </c>
      <c r="C16" s="10" t="n">
        <v>407</v>
      </c>
      <c r="D16" s="10" t="n">
        <v>473</v>
      </c>
      <c r="E16" s="9" t="n">
        <f aca="false">D16*1000/$B$3</f>
        <v>1228.57142857143</v>
      </c>
      <c r="F16" s="8" t="n">
        <f aca="false">D16/B16-1</f>
        <v>0.405646359583952</v>
      </c>
      <c r="G16" s="8" t="n">
        <v>-0.007</v>
      </c>
      <c r="H16" s="9" t="n">
        <v>533</v>
      </c>
      <c r="I16" s="9" t="n">
        <f aca="false">H16*1000/$B$3</f>
        <v>1384.41558441558</v>
      </c>
    </row>
    <row r="17" customFormat="false" ht="15" hidden="false" customHeight="false" outlineLevel="0" collapsed="false">
      <c r="A17" s="11" t="s">
        <v>115</v>
      </c>
      <c r="B17" s="10" t="n">
        <v>205.1</v>
      </c>
      <c r="C17" s="10" t="n">
        <v>246.2</v>
      </c>
      <c r="D17" s="10" t="n">
        <v>271</v>
      </c>
      <c r="E17" s="9" t="n">
        <f aca="false">D17*1000/$B$3</f>
        <v>703.896103896104</v>
      </c>
      <c r="F17" s="8" t="n">
        <f aca="false">D17/B17-1</f>
        <v>0.321306679668455</v>
      </c>
      <c r="G17" s="8" t="n">
        <v>0.041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6"/>
  </cols>
  <sheetData>
    <row r="1" customFormat="false" ht="16.15" hidden="false" customHeight="false" outlineLevel="0" collapsed="false">
      <c r="A1" s="1" t="s">
        <v>116</v>
      </c>
    </row>
    <row r="2" customFormat="false" ht="15" hidden="false" customHeight="false" outlineLevel="0" collapsed="false">
      <c r="A2" s="2" t="s">
        <v>117</v>
      </c>
    </row>
    <row r="4" customFormat="false" ht="15" hidden="false" customHeight="false" outlineLevel="0" collapsed="false">
      <c r="A4" s="11" t="s">
        <v>118</v>
      </c>
    </row>
    <row r="5" customFormat="false" ht="15" hidden="false" customHeight="false" outlineLevel="0" collapsed="false">
      <c r="A5" s="5" t="s">
        <v>119</v>
      </c>
      <c r="B5" s="5" t="s">
        <v>120</v>
      </c>
      <c r="C5" s="5" t="s">
        <v>121</v>
      </c>
      <c r="D5" s="5" t="s">
        <v>122</v>
      </c>
      <c r="E5" s="5" t="s">
        <v>123</v>
      </c>
      <c r="F5" s="5" t="s">
        <v>124</v>
      </c>
      <c r="G5" s="5" t="s">
        <v>125</v>
      </c>
    </row>
    <row r="6" customFormat="false" ht="15" hidden="false" customHeight="false" outlineLevel="0" collapsed="false">
      <c r="A6" s="9" t="n">
        <v>268</v>
      </c>
      <c r="B6" s="9" t="n">
        <v>330</v>
      </c>
      <c r="C6" s="9" t="n">
        <v>350</v>
      </c>
      <c r="D6" s="9" t="n">
        <v>400</v>
      </c>
      <c r="E6" s="9" t="n">
        <v>392</v>
      </c>
      <c r="F6" s="9" t="n">
        <v>427</v>
      </c>
      <c r="G6" s="9" t="n">
        <v>428</v>
      </c>
    </row>
    <row r="8" customFormat="false" ht="15" hidden="false" customHeight="false" outlineLevel="0" collapsed="false">
      <c r="A8" s="11" t="s">
        <v>126</v>
      </c>
    </row>
    <row r="9" customFormat="false" ht="15" hidden="false" customHeight="false" outlineLevel="0" collapsed="false">
      <c r="A9" s="5" t="s">
        <v>121</v>
      </c>
      <c r="B9" s="5" t="s">
        <v>127</v>
      </c>
      <c r="C9" s="5" t="s">
        <v>123</v>
      </c>
      <c r="D9" s="5" t="s">
        <v>124</v>
      </c>
      <c r="E9" s="5" t="s">
        <v>125</v>
      </c>
      <c r="F9" s="5" t="s">
        <v>128</v>
      </c>
    </row>
    <row r="10" customFormat="false" ht="15" hidden="false" customHeight="false" outlineLevel="0" collapsed="false">
      <c r="A10" s="9" t="n">
        <v>400</v>
      </c>
      <c r="B10" s="9" t="n">
        <v>950</v>
      </c>
      <c r="C10" s="9" t="n">
        <v>650</v>
      </c>
      <c r="D10" s="9" t="n">
        <v>600</v>
      </c>
      <c r="E10" s="9" t="n">
        <v>700</v>
      </c>
      <c r="F10" s="9" t="n">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3" min="2" style="0" width="8"/>
  </cols>
  <sheetData>
    <row r="1" customFormat="false" ht="16.15" hidden="false" customHeight="false" outlineLevel="0" collapsed="false">
      <c r="A1" s="1" t="s">
        <v>129</v>
      </c>
    </row>
    <row r="2" customFormat="false" ht="15" hidden="false" customHeight="false" outlineLevel="0" collapsed="false">
      <c r="A2" s="2" t="s">
        <v>130</v>
      </c>
    </row>
    <row r="4" customFormat="false" ht="15" hidden="false" customHeight="false" outlineLevel="0" collapsed="false">
      <c r="A4" s="5" t="s">
        <v>131</v>
      </c>
      <c r="B4" s="5" t="s">
        <v>132</v>
      </c>
      <c r="C4" s="5" t="s">
        <v>133</v>
      </c>
      <c r="D4" s="5" t="s">
        <v>134</v>
      </c>
      <c r="E4" s="5" t="s">
        <v>135</v>
      </c>
      <c r="F4" s="5" t="s">
        <v>136</v>
      </c>
      <c r="G4" s="5" t="s">
        <v>137</v>
      </c>
      <c r="H4" s="5" t="s">
        <v>138</v>
      </c>
      <c r="I4" s="5" t="s">
        <v>139</v>
      </c>
      <c r="J4" s="5" t="s">
        <v>140</v>
      </c>
      <c r="K4" s="5" t="s">
        <v>141</v>
      </c>
      <c r="L4" s="5" t="s">
        <v>120</v>
      </c>
      <c r="M4" s="5" t="s">
        <v>121</v>
      </c>
      <c r="N4" s="5" t="s">
        <v>122</v>
      </c>
      <c r="O4" s="5" t="s">
        <v>123</v>
      </c>
      <c r="P4" s="5" t="s">
        <v>124</v>
      </c>
      <c r="Q4" s="5" t="s">
        <v>125</v>
      </c>
      <c r="R4" s="5" t="s">
        <v>142</v>
      </c>
      <c r="S4" s="5" t="s">
        <v>143</v>
      </c>
      <c r="T4" s="5" t="s">
        <v>144</v>
      </c>
      <c r="U4" s="5" t="s">
        <v>145</v>
      </c>
      <c r="V4" s="5" t="s">
        <v>146</v>
      </c>
      <c r="W4" s="5" t="s">
        <v>147</v>
      </c>
    </row>
    <row r="5" customFormat="false" ht="15" hidden="false" customHeight="false" outlineLevel="0" collapsed="false">
      <c r="A5" s="11" t="s">
        <v>148</v>
      </c>
      <c r="B5" s="10" t="n">
        <v>2.2</v>
      </c>
      <c r="C5" s="10" t="n">
        <v>4.7</v>
      </c>
      <c r="D5" s="10" t="n">
        <v>7.1</v>
      </c>
      <c r="E5" s="10" t="n">
        <v>3.4</v>
      </c>
      <c r="F5" s="10" t="n">
        <v>3.6</v>
      </c>
      <c r="G5" s="10" t="n">
        <v>3.3</v>
      </c>
      <c r="H5" s="10" t="n">
        <v>0.2</v>
      </c>
      <c r="I5" s="10" t="n">
        <v>7.5</v>
      </c>
      <c r="J5" s="10" t="n">
        <v>5.2</v>
      </c>
      <c r="K5" s="10" t="n">
        <v>7.6</v>
      </c>
      <c r="L5" s="10" t="n">
        <v>-7.1</v>
      </c>
      <c r="M5" s="10" t="n">
        <v>5.8</v>
      </c>
      <c r="N5" s="10" t="n">
        <v>12.6</v>
      </c>
      <c r="O5" s="10" t="n">
        <v>8.3</v>
      </c>
      <c r="P5" s="10" t="n">
        <v>5.9</v>
      </c>
      <c r="Q5" s="10" t="n">
        <v>7.2</v>
      </c>
      <c r="R5" s="13" t="n">
        <v>5.3</v>
      </c>
      <c r="S5" s="13" t="n">
        <v>5.5</v>
      </c>
      <c r="T5" s="13" t="n">
        <v>5</v>
      </c>
      <c r="U5" s="13" t="n">
        <v>5</v>
      </c>
      <c r="V5" s="13" t="n">
        <v>5</v>
      </c>
      <c r="W5" s="13" t="n">
        <v>5</v>
      </c>
    </row>
    <row r="6" customFormat="false" ht="15" hidden="false" customHeight="false" outlineLevel="0" collapsed="false">
      <c r="A6" s="11" t="s">
        <v>149</v>
      </c>
      <c r="B6" s="10" t="n">
        <v>8.2</v>
      </c>
      <c r="C6" s="10" t="n">
        <v>7.5</v>
      </c>
      <c r="D6" s="10" t="n">
        <v>2.5</v>
      </c>
      <c r="E6" s="10" t="n">
        <v>5.7</v>
      </c>
      <c r="F6" s="10" t="n">
        <v>3</v>
      </c>
      <c r="G6" s="10" t="n">
        <v>3.7</v>
      </c>
      <c r="H6" s="10" t="n">
        <v>-1.4</v>
      </c>
      <c r="I6" s="10" t="n">
        <v>1</v>
      </c>
      <c r="J6" s="10" t="n">
        <v>2.5</v>
      </c>
      <c r="K6" s="10" t="n">
        <v>1.4</v>
      </c>
      <c r="L6" s="10" t="n">
        <v>1.2</v>
      </c>
      <c r="M6" s="10" t="n">
        <v>7.2</v>
      </c>
      <c r="N6" s="10" t="n">
        <v>8.6</v>
      </c>
      <c r="O6" s="10" t="n">
        <v>2</v>
      </c>
      <c r="P6" s="10" t="n">
        <v>0.3</v>
      </c>
      <c r="Q6" s="10" t="n">
        <v>3.3</v>
      </c>
      <c r="R6" s="13" t="n">
        <v>3.6</v>
      </c>
      <c r="S6" s="13" t="n">
        <v>3.4</v>
      </c>
      <c r="T6" s="13" t="n">
        <v>3.3</v>
      </c>
      <c r="U6" s="13" t="n">
        <v>3</v>
      </c>
      <c r="V6" s="13" t="n">
        <v>3</v>
      </c>
      <c r="W6" s="13" t="n">
        <v>3</v>
      </c>
    </row>
    <row r="7" customFormat="false" ht="15" hidden="false" customHeight="false" outlineLevel="0" collapsed="false">
      <c r="A7" s="11" t="s">
        <v>150</v>
      </c>
      <c r="B7" s="10" t="n">
        <v>9.3</v>
      </c>
      <c r="C7" s="10" t="n">
        <v>4.6</v>
      </c>
      <c r="D7" s="10" t="n">
        <v>3.1</v>
      </c>
      <c r="E7" s="10" t="n">
        <v>5.6</v>
      </c>
      <c r="F7" s="10" t="n">
        <v>4.6</v>
      </c>
      <c r="G7" s="10" t="n">
        <v>-0.2</v>
      </c>
      <c r="H7" s="10" t="n">
        <v>-1.1</v>
      </c>
      <c r="I7" s="10" t="n">
        <v>2.6</v>
      </c>
      <c r="J7" s="10" t="n">
        <v>1.8</v>
      </c>
      <c r="K7" s="10" t="n">
        <v>0.7</v>
      </c>
      <c r="L7" s="10" t="n">
        <v>3.8</v>
      </c>
      <c r="M7" s="10" t="n">
        <v>7.6</v>
      </c>
      <c r="N7" s="10" t="n">
        <v>8.3</v>
      </c>
      <c r="O7" s="10" t="n">
        <v>-0.6</v>
      </c>
      <c r="P7" s="10" t="n">
        <v>1.5</v>
      </c>
      <c r="Q7" s="10" t="n">
        <v>3.3</v>
      </c>
      <c r="R7" s="13" t="n">
        <v>3.8</v>
      </c>
      <c r="S7" s="13" t="n">
        <v>3.5</v>
      </c>
      <c r="T7" s="13" t="n">
        <v>3</v>
      </c>
      <c r="U7" s="13" t="n">
        <v>3</v>
      </c>
      <c r="V7" s="13" t="n">
        <v>3</v>
      </c>
      <c r="W7" s="13" t="n">
        <v>3</v>
      </c>
    </row>
    <row r="8" customFormat="false" ht="15" hidden="false" customHeight="false" outlineLevel="0" collapsed="false">
      <c r="A8" s="11" t="s">
        <v>151</v>
      </c>
      <c r="B8" s="10" t="n">
        <v>-13.6</v>
      </c>
      <c r="C8" s="10" t="n">
        <v>-10.4</v>
      </c>
      <c r="D8" s="10" t="n">
        <v>-10</v>
      </c>
      <c r="E8" s="10" t="n">
        <v>-7.3</v>
      </c>
      <c r="F8" s="10" t="n">
        <v>-7.8</v>
      </c>
      <c r="G8" s="10" t="n">
        <v>-2.7</v>
      </c>
      <c r="H8" s="10" t="n">
        <v>-1</v>
      </c>
      <c r="I8" s="10" t="n">
        <v>-1.3</v>
      </c>
      <c r="J8" s="10" t="n">
        <v>-7.2</v>
      </c>
      <c r="K8" s="10" t="n">
        <v>-7.1</v>
      </c>
      <c r="L8" s="10" t="n">
        <v>-4</v>
      </c>
      <c r="M8" s="10" t="n">
        <v>-3.4</v>
      </c>
      <c r="N8" s="10" t="n">
        <v>0.7</v>
      </c>
      <c r="O8" s="10" t="n">
        <v>-2.8</v>
      </c>
      <c r="P8" s="10" t="n">
        <v>-4.6</v>
      </c>
      <c r="Q8" s="10" t="n">
        <v>-6.7</v>
      </c>
      <c r="R8" s="13" t="n">
        <v>-6</v>
      </c>
      <c r="S8" s="13" t="n">
        <v>-5.2</v>
      </c>
      <c r="T8" s="13" t="n">
        <v>-4.7</v>
      </c>
      <c r="U8" s="13" t="n">
        <v>-4.6</v>
      </c>
      <c r="V8" s="13" t="n">
        <v>-4.5</v>
      </c>
      <c r="W8" s="13" t="n">
        <v>-4.4</v>
      </c>
    </row>
    <row r="9" customFormat="false" ht="15" hidden="false" customHeight="false" outlineLevel="0" collapsed="false">
      <c r="A9" s="11" t="s">
        <v>152</v>
      </c>
      <c r="B9" s="10" t="n">
        <v>-5</v>
      </c>
      <c r="C9" s="10" t="n">
        <v>-2.9</v>
      </c>
      <c r="D9" s="10" t="n">
        <v>-1.5</v>
      </c>
      <c r="E9" s="10" t="n">
        <v>-1.6</v>
      </c>
      <c r="F9" s="10" t="n">
        <v>-1.9</v>
      </c>
      <c r="G9" s="10" t="n">
        <v>-4.8</v>
      </c>
      <c r="H9" s="10" t="n">
        <v>-5.6</v>
      </c>
      <c r="I9" s="10" t="n">
        <v>-4.7</v>
      </c>
      <c r="J9" s="10" t="n">
        <v>-1.8</v>
      </c>
      <c r="K9" s="10" t="n">
        <v>-1</v>
      </c>
      <c r="L9" s="10" t="n">
        <v>-5.4</v>
      </c>
      <c r="M9" s="10" t="n">
        <v>-4.6</v>
      </c>
      <c r="N9" s="10" t="n">
        <v>-2.1</v>
      </c>
      <c r="O9" s="10" t="n">
        <v>-2</v>
      </c>
      <c r="P9" s="10" t="n">
        <v>-3.7</v>
      </c>
      <c r="Q9" s="10" t="n">
        <v>-3.7</v>
      </c>
      <c r="R9" s="13" t="n">
        <v>-4.5</v>
      </c>
      <c r="S9" s="13" t="n">
        <v>-3.5</v>
      </c>
      <c r="T9" s="13" t="n">
        <v>-2.9</v>
      </c>
      <c r="U9" s="13" t="n">
        <v>-2.3</v>
      </c>
      <c r="V9" s="13" t="n">
        <v>-1.8</v>
      </c>
      <c r="W9" s="13" t="n">
        <v>-1.3</v>
      </c>
    </row>
    <row r="10" customFormat="false" ht="15" hidden="false" customHeight="false" outlineLevel="0" collapsed="false">
      <c r="A10" s="11" t="s">
        <v>153</v>
      </c>
      <c r="B10" s="10" t="n">
        <v>40</v>
      </c>
      <c r="C10" s="10" t="n">
        <v>42.2</v>
      </c>
      <c r="D10" s="10" t="n">
        <v>41.4</v>
      </c>
      <c r="E10" s="10" t="n">
        <v>40.9</v>
      </c>
      <c r="F10" s="10" t="n">
        <v>43.7</v>
      </c>
      <c r="G10" s="10" t="n">
        <v>48.7</v>
      </c>
      <c r="H10" s="10" t="n">
        <v>56.7</v>
      </c>
      <c r="I10" s="10" t="n">
        <v>58.9</v>
      </c>
      <c r="J10" s="10" t="n">
        <v>55.7</v>
      </c>
      <c r="K10" s="10" t="n">
        <v>53.7</v>
      </c>
      <c r="L10" s="10" t="n">
        <v>67.4</v>
      </c>
      <c r="M10" s="10" t="n">
        <v>63.4</v>
      </c>
      <c r="N10" s="10" t="n">
        <v>49.2</v>
      </c>
      <c r="O10" s="10" t="n">
        <v>50.5</v>
      </c>
      <c r="P10" s="10" t="n">
        <v>50</v>
      </c>
      <c r="Q10" s="10" t="n">
        <v>49</v>
      </c>
      <c r="R10" s="13" t="n">
        <v>50.6</v>
      </c>
      <c r="S10" s="13" t="n">
        <v>51.2</v>
      </c>
      <c r="T10" s="13" t="n">
        <v>51.4</v>
      </c>
      <c r="U10" s="13" t="n">
        <v>50.4</v>
      </c>
      <c r="V10" s="13" t="n">
        <v>48.8</v>
      </c>
      <c r="W10" s="13" t="n">
        <v>46.7</v>
      </c>
    </row>
    <row r="11" customFormat="false" ht="15" hidden="false" customHeight="false" outlineLevel="0" collapsed="false">
      <c r="A11" s="11" t="s">
        <v>154</v>
      </c>
      <c r="B11" s="10" t="n">
        <v>19</v>
      </c>
      <c r="C11" s="10" t="n">
        <v>18.4</v>
      </c>
      <c r="D11" s="10" t="n">
        <v>17.3</v>
      </c>
      <c r="E11" s="10" t="n">
        <v>16.2</v>
      </c>
      <c r="F11" s="10" t="n">
        <v>17.6</v>
      </c>
      <c r="G11" s="10" t="n">
        <v>18.5</v>
      </c>
      <c r="H11" s="10" t="n">
        <v>18</v>
      </c>
      <c r="I11" s="10" t="n">
        <v>17.8</v>
      </c>
      <c r="J11" s="10" t="n">
        <v>19</v>
      </c>
      <c r="K11" s="10" t="n">
        <v>18.3</v>
      </c>
      <c r="L11" s="10" t="n">
        <v>18.2</v>
      </c>
      <c r="M11" s="10" t="n">
        <v>15.5</v>
      </c>
      <c r="N11" s="10" t="n">
        <v>13.5</v>
      </c>
      <c r="O11" s="10" t="n">
        <v>12.4</v>
      </c>
      <c r="P11" s="10" t="n">
        <v>13.9</v>
      </c>
      <c r="Q11" s="10" t="n">
        <v>13</v>
      </c>
      <c r="R11" s="13" t="n">
        <v>12.8</v>
      </c>
      <c r="S11" s="13" t="n">
        <v>12.7</v>
      </c>
      <c r="T11" s="13" t="n">
        <v>12.5</v>
      </c>
      <c r="U11" s="13" t="n">
        <v>12.4</v>
      </c>
      <c r="V11" s="13" t="n">
        <v>12.3</v>
      </c>
      <c r="W11" s="13" t="n">
        <v>12.1</v>
      </c>
    </row>
    <row r="12" customFormat="false" ht="15" hidden="false" customHeight="false" outlineLevel="0" collapsed="false">
      <c r="A12" s="11" t="s">
        <v>155</v>
      </c>
      <c r="B12" s="10" t="n">
        <v>9.3</v>
      </c>
      <c r="C12" s="10" t="n">
        <v>10.1</v>
      </c>
      <c r="D12" s="10" t="n">
        <v>10.6</v>
      </c>
      <c r="E12" s="10" t="n">
        <v>11.1</v>
      </c>
      <c r="F12" s="10" t="n">
        <v>11.6</v>
      </c>
      <c r="G12" s="10" t="n">
        <v>10.6</v>
      </c>
      <c r="H12" s="10" t="n">
        <v>10.5</v>
      </c>
      <c r="I12" s="10" t="n">
        <v>11.5</v>
      </c>
      <c r="J12" s="10" t="n">
        <v>12.5</v>
      </c>
      <c r="K12" s="10" t="n">
        <v>13.6</v>
      </c>
      <c r="L12" s="10" t="n">
        <v>12.6</v>
      </c>
      <c r="M12" s="10" t="n">
        <v>13.9</v>
      </c>
      <c r="N12" s="10" t="n">
        <v>19.5</v>
      </c>
      <c r="O12" s="10" t="n">
        <v>24.2</v>
      </c>
      <c r="P12" s="10" t="n">
        <v>26</v>
      </c>
      <c r="Q12" s="10" t="n">
        <v>29.2</v>
      </c>
      <c r="R12" s="13" t="n">
        <v>31.9</v>
      </c>
      <c r="S12" s="13" t="n">
        <v>33.6</v>
      </c>
      <c r="T12" s="13" t="n">
        <v>35.4</v>
      </c>
      <c r="U12" s="13" t="n">
        <v>37.9</v>
      </c>
      <c r="V12" s="13" t="n">
        <v>40.7</v>
      </c>
      <c r="W12" s="13" t="n">
        <v>43.6</v>
      </c>
    </row>
    <row r="13" customFormat="false" ht="15" hidden="false" customHeight="false" outlineLevel="0" collapsed="false">
      <c r="A13" s="11" t="s">
        <v>156</v>
      </c>
      <c r="B13" s="10" t="n">
        <v>3066.2</v>
      </c>
      <c r="C13" s="10" t="n">
        <v>3353.7</v>
      </c>
      <c r="D13" s="10" t="n">
        <v>3514</v>
      </c>
      <c r="E13" s="10" t="n">
        <v>3690.1</v>
      </c>
      <c r="F13" s="10" t="n">
        <v>3863.9</v>
      </c>
      <c r="G13" s="10" t="n">
        <v>3526.7</v>
      </c>
      <c r="H13" s="10" t="n">
        <v>3539.6</v>
      </c>
      <c r="I13" s="10" t="n">
        <v>3882.6</v>
      </c>
      <c r="J13" s="10" t="n">
        <v>4205.2</v>
      </c>
      <c r="K13" s="10" t="n">
        <v>4598.8</v>
      </c>
      <c r="L13" s="10" t="n">
        <v>4267.5</v>
      </c>
      <c r="M13" s="10" t="n">
        <v>4674.2</v>
      </c>
      <c r="N13" s="10" t="n">
        <v>6539.1</v>
      </c>
      <c r="O13" s="10" t="n">
        <v>7972.5</v>
      </c>
      <c r="P13" s="10" t="n">
        <v>8555.6</v>
      </c>
      <c r="Q13" s="10" t="n">
        <v>9521</v>
      </c>
      <c r="R13" s="13" t="n">
        <v>10409.9</v>
      </c>
      <c r="S13" s="13" t="n">
        <v>10994.9</v>
      </c>
      <c r="T13" s="13" t="n">
        <v>11641.5</v>
      </c>
      <c r="U13" s="13" t="n">
        <v>12507.4</v>
      </c>
      <c r="V13" s="13" t="n">
        <v>13468.8</v>
      </c>
      <c r="W13" s="13" t="n">
        <v>14500.9</v>
      </c>
    </row>
    <row r="14" customFormat="false" ht="15" hidden="false" customHeight="false" outlineLevel="0" collapsed="false">
      <c r="A14" s="2" t="s">
        <v>157</v>
      </c>
    </row>
    <row r="16" customFormat="false" ht="15" hidden="false" customHeight="false" outlineLevel="0" collapsed="false">
      <c r="A16" s="11" t="s">
        <v>158</v>
      </c>
    </row>
    <row r="17" customFormat="false" ht="15" hidden="false" customHeight="false" outlineLevel="0" collapsed="false">
      <c r="A17" s="14" t="s">
        <v>159</v>
      </c>
      <c r="B17" s="14" t="s">
        <v>142</v>
      </c>
      <c r="C17" s="14" t="s">
        <v>143</v>
      </c>
      <c r="D17" s="14" t="s">
        <v>160</v>
      </c>
    </row>
    <row r="18" customFormat="false" ht="15" hidden="false" customHeight="false" outlineLevel="0" collapsed="false">
      <c r="A18" s="6" t="s">
        <v>161</v>
      </c>
      <c r="B18" s="7" t="n">
        <v>5.3</v>
      </c>
      <c r="C18" s="7" t="n">
        <v>5.5</v>
      </c>
      <c r="D18" s="6" t="s">
        <v>162</v>
      </c>
    </row>
    <row r="19" customFormat="false" ht="15" hidden="false" customHeight="false" outlineLevel="0" collapsed="false">
      <c r="A19" s="6" t="s">
        <v>163</v>
      </c>
      <c r="B19" s="7" t="n">
        <v>5.25</v>
      </c>
      <c r="C19" s="6"/>
      <c r="D19" s="6" t="s">
        <v>164</v>
      </c>
    </row>
    <row r="20" customFormat="false" ht="15" hidden="false" customHeight="false" outlineLevel="0" collapsed="false">
      <c r="A20" s="6" t="s">
        <v>165</v>
      </c>
      <c r="B20" s="7" t="n">
        <v>5.3</v>
      </c>
      <c r="C20" s="7" t="n">
        <v>5.1</v>
      </c>
      <c r="D20" s="6" t="s">
        <v>166</v>
      </c>
    </row>
    <row r="21" customFormat="false" ht="15" hidden="false" customHeight="false" outlineLevel="0" collapsed="false">
      <c r="A21" s="6" t="s">
        <v>167</v>
      </c>
      <c r="B21" s="7" t="n">
        <v>5.5</v>
      </c>
      <c r="C21" s="7" t="n">
        <v>5.5</v>
      </c>
      <c r="D21" s="6" t="s">
        <v>164</v>
      </c>
    </row>
    <row r="22" customFormat="false" ht="15" hidden="false" customHeight="false" outlineLevel="0" collapsed="false">
      <c r="A22" s="6" t="s">
        <v>168</v>
      </c>
      <c r="B22" s="7" t="n">
        <v>5.5</v>
      </c>
      <c r="C22" s="7" t="n">
        <v>5.7</v>
      </c>
      <c r="D22" s="6" t="s">
        <v>162</v>
      </c>
    </row>
    <row r="23" customFormat="false" ht="15" hidden="false" customHeight="false" outlineLevel="0" collapsed="false">
      <c r="A23" s="6" t="s">
        <v>169</v>
      </c>
      <c r="B23" s="7" t="n">
        <v>5.2</v>
      </c>
      <c r="C23" s="6"/>
      <c r="D23" s="6" t="s">
        <v>170</v>
      </c>
    </row>
    <row r="24" customFormat="false" ht="15" hidden="false" customHeight="false" outlineLevel="0" collapsed="false">
      <c r="A24" s="6" t="s">
        <v>171</v>
      </c>
      <c r="B24" s="6" t="s">
        <v>172</v>
      </c>
      <c r="C24" s="6" t="s">
        <v>172</v>
      </c>
      <c r="D24" s="6" t="s">
        <v>170</v>
      </c>
    </row>
    <row r="25" customFormat="false" ht="15" hidden="false" customHeight="false" outlineLevel="0" collapsed="false">
      <c r="A25" s="6" t="s">
        <v>173</v>
      </c>
      <c r="B25" s="7" t="n">
        <v>5.4</v>
      </c>
      <c r="C25" s="6"/>
      <c r="D25" s="6" t="s">
        <v>174</v>
      </c>
    </row>
    <row r="26" customFormat="false" ht="15" hidden="false" customHeight="false" outlineLevel="0" collapsed="false">
      <c r="A26" s="6" t="s">
        <v>175</v>
      </c>
      <c r="B26" s="7" t="n">
        <v>6</v>
      </c>
      <c r="C26" s="6"/>
      <c r="D26" s="6"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3" min="3" style="0" width="26"/>
    <col collapsed="false" customWidth="true" hidden="false" outlineLevel="0" max="4" min="4" style="0" width="24"/>
  </cols>
  <sheetData>
    <row r="1" customFormat="false" ht="16.15" hidden="false" customHeight="false" outlineLevel="0" collapsed="false">
      <c r="A1" s="1" t="s">
        <v>177</v>
      </c>
    </row>
    <row r="2" customFormat="false" ht="15" hidden="false" customHeight="false" outlineLevel="0" collapsed="false">
      <c r="A2" s="2" t="s">
        <v>178</v>
      </c>
    </row>
    <row r="4" customFormat="false" ht="15" hidden="false" customHeight="false" outlineLevel="0" collapsed="false">
      <c r="A4" s="15" t="s">
        <v>179</v>
      </c>
      <c r="B4" s="15" t="s">
        <v>180</v>
      </c>
      <c r="C4" s="15" t="s">
        <v>181</v>
      </c>
      <c r="D4" s="15" t="s">
        <v>182</v>
      </c>
    </row>
    <row r="5" customFormat="false" ht="15" hidden="false" customHeight="false" outlineLevel="0" collapsed="false">
      <c r="A5" s="4" t="s">
        <v>183</v>
      </c>
      <c r="B5" s="3" t="s">
        <v>184</v>
      </c>
      <c r="C5" s="3" t="s">
        <v>185</v>
      </c>
      <c r="D5" s="3" t="s">
        <v>186</v>
      </c>
    </row>
    <row r="6" customFormat="false" ht="15" hidden="false" customHeight="false" outlineLevel="0" collapsed="false">
      <c r="A6" s="4" t="s">
        <v>187</v>
      </c>
      <c r="B6" s="3" t="n">
        <v>74</v>
      </c>
      <c r="C6" s="3" t="n">
        <v>76</v>
      </c>
      <c r="D6" s="3" t="n">
        <v>60</v>
      </c>
    </row>
    <row r="7" customFormat="false" ht="15" hidden="false" customHeight="false" outlineLevel="0" collapsed="false">
      <c r="A7" s="4" t="s">
        <v>188</v>
      </c>
      <c r="B7" s="3" t="s">
        <v>189</v>
      </c>
      <c r="C7" s="3" t="s">
        <v>190</v>
      </c>
      <c r="D7" s="3" t="s">
        <v>191</v>
      </c>
    </row>
    <row r="8" customFormat="false" ht="15" hidden="false" customHeight="false" outlineLevel="0" collapsed="false">
      <c r="A8" s="4" t="s">
        <v>192</v>
      </c>
      <c r="B8" s="3" t="s">
        <v>193</v>
      </c>
      <c r="C8" s="3" t="s">
        <v>194</v>
      </c>
      <c r="D8" s="3" t="s">
        <v>195</v>
      </c>
    </row>
    <row r="9" customFormat="false" ht="15" hidden="false" customHeight="false" outlineLevel="0" collapsed="false">
      <c r="A9" s="4" t="s">
        <v>196</v>
      </c>
      <c r="B9" s="3" t="s">
        <v>197</v>
      </c>
      <c r="C9" s="3" t="s">
        <v>198</v>
      </c>
      <c r="D9" s="3" t="s">
        <v>199</v>
      </c>
    </row>
    <row r="10" customFormat="false" ht="15" hidden="false" customHeight="false" outlineLevel="0" collapsed="false">
      <c r="A10" s="4" t="s">
        <v>200</v>
      </c>
      <c r="B10" s="3" t="s">
        <v>201</v>
      </c>
      <c r="C10" s="3" t="s">
        <v>202</v>
      </c>
      <c r="D10" s="3" t="s">
        <v>202</v>
      </c>
    </row>
    <row r="11" customFormat="false" ht="23.85" hidden="false" customHeight="false" outlineLevel="0" collapsed="false">
      <c r="A11" s="4" t="s">
        <v>203</v>
      </c>
      <c r="B11" s="3" t="s">
        <v>204</v>
      </c>
      <c r="C11" s="3"/>
      <c r="D11" s="3"/>
    </row>
    <row r="12" customFormat="false" ht="15" hidden="false" customHeight="false" outlineLevel="0" collapsed="false">
      <c r="A12" s="4" t="s">
        <v>205</v>
      </c>
      <c r="B12" s="3" t="s">
        <v>206</v>
      </c>
      <c r="C12" s="3"/>
      <c r="D1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s>
  <sheetData>
    <row r="1" customFormat="false" ht="16.15" hidden="false" customHeight="false" outlineLevel="0" collapsed="false">
      <c r="A1" s="1" t="s">
        <v>207</v>
      </c>
    </row>
    <row r="2" customFormat="false" ht="15" hidden="false" customHeight="false" outlineLevel="0" collapsed="false">
      <c r="A2" s="2" t="s">
        <v>208</v>
      </c>
    </row>
    <row r="4" customFormat="false" ht="15" hidden="false" customHeight="false" outlineLevel="0" collapsed="false">
      <c r="A4" s="11" t="s">
        <v>209</v>
      </c>
      <c r="B4" s="16" t="n">
        <v>150000</v>
      </c>
    </row>
    <row r="5" customFormat="false" ht="15" hidden="false" customHeight="false" outlineLevel="0" collapsed="false">
      <c r="A5" s="11" t="s">
        <v>210</v>
      </c>
      <c r="B5" s="16" t="n">
        <v>775</v>
      </c>
    </row>
    <row r="6" customFormat="false" ht="15" hidden="false" customHeight="false" outlineLevel="0" collapsed="false">
      <c r="A6" s="11" t="s">
        <v>211</v>
      </c>
      <c r="B6" s="17" t="n">
        <v>0.92</v>
      </c>
    </row>
    <row r="7" customFormat="false" ht="15" hidden="false" customHeight="false" outlineLevel="0" collapsed="false">
      <c r="A7" s="11" t="s">
        <v>212</v>
      </c>
      <c r="B7" s="17" t="n">
        <v>0.1</v>
      </c>
    </row>
    <row r="8" customFormat="false" ht="15" hidden="false" customHeight="false" outlineLevel="0" collapsed="false">
      <c r="A8" s="11" t="s">
        <v>213</v>
      </c>
      <c r="B8" s="17" t="n">
        <v>0.08</v>
      </c>
    </row>
    <row r="10" customFormat="false" ht="15" hidden="false" customHeight="false" outlineLevel="0" collapsed="false">
      <c r="A10" s="11" t="s">
        <v>214</v>
      </c>
      <c r="B10" s="9" t="n">
        <f aca="false">B5*12*B6</f>
        <v>8556</v>
      </c>
    </row>
    <row r="11" customFormat="false" ht="15" hidden="false" customHeight="false" outlineLevel="0" collapsed="false">
      <c r="A11" s="11" t="s">
        <v>215</v>
      </c>
      <c r="B11" s="8" t="n">
        <f aca="false">B10/B4</f>
        <v>0.05704</v>
      </c>
    </row>
    <row r="12" customFormat="false" ht="15" hidden="false" customHeight="false" outlineLevel="0" collapsed="false">
      <c r="A12" s="11" t="s">
        <v>216</v>
      </c>
      <c r="B12" s="9" t="n">
        <f aca="false">B10*(1-B7-B8)</f>
        <v>7015.92</v>
      </c>
    </row>
    <row r="13" customFormat="false" ht="15" hidden="false" customHeight="false" outlineLevel="0" collapsed="false">
      <c r="A13" s="11" t="s">
        <v>217</v>
      </c>
      <c r="B13" s="8" t="n">
        <f aca="false">B12/B4</f>
        <v>0.0467728</v>
      </c>
    </row>
    <row r="14" customFormat="false" ht="15" hidden="false" customHeight="false" outlineLevel="0" collapsed="false">
      <c r="A14" s="11" t="s">
        <v>218</v>
      </c>
      <c r="B14" s="8" t="n">
        <f aca="false">B13+0.03</f>
        <v>0.0767728</v>
      </c>
    </row>
    <row r="15" customFormat="false" ht="15" hidden="false" customHeight="false" outlineLevel="0" collapsed="false">
      <c r="A15" s="11" t="s">
        <v>219</v>
      </c>
      <c r="B15" s="8" t="n">
        <f aca="false">B13+0.07</f>
        <v>0.1167728</v>
      </c>
    </row>
    <row r="17" customFormat="false" ht="15" hidden="false" customHeight="false" outlineLevel="0" collapsed="false">
      <c r="A17" s="2"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2026-09-02T01:32:04Z</dcterms:created>
  <dc:creator>openpyxl</dc:creator>
  <dc:description/>
  <dc:language>en-US</dc:language>
  <cp:lastModifiedBy/>
  <dcterms:modified xsi:type="dcterms:W3CDTF">2026-09-02T01:32:08Z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